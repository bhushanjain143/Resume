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6" activeTab="3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QL" sheetId="2" state="visible" r:id="rId2"/>
    <sheet xmlns:r="http://schemas.openxmlformats.org/officeDocument/2006/relationships" name="Data Warehouse" sheetId="3" state="visible" r:id="rId3"/>
    <sheet xmlns:r="http://schemas.openxmlformats.org/officeDocument/2006/relationships" name="PySpark" sheetId="4" state="visible" r:id="rId4"/>
    <sheet xmlns:r="http://schemas.openxmlformats.org/officeDocument/2006/relationships" name="Databricks" sheetId="5" state="visible" r:id="rId5"/>
    <sheet xmlns:r="http://schemas.openxmlformats.org/officeDocument/2006/relationships" name="Project" sheetId="6" state="visible" r:id="rId6"/>
    <sheet xmlns:r="http://schemas.openxmlformats.org/officeDocument/2006/relationships" name="Interview Essentials" sheetId="7" state="visible" r:id="rId7"/>
    <sheet xmlns:r="http://schemas.openxmlformats.org/officeDocument/2006/relationships" name="Daily SQL Practice Log" sheetId="8" state="visible" r:id="rId8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\-mm\-dd"/>
    <numFmt numFmtId="166" formatCode="0.0"/>
  </numFmts>
  <fonts count="9">
    <font>
      <name val="Calibri"/>
      <charset val="1"/>
      <family val="2"/>
      <color theme="1"/>
      <sz val="11"/>
    </font>
    <font>
      <name val="Arial"/>
      <charset val="1"/>
      <b val="1"/>
      <color rgb="FF1F4E78"/>
      <sz val="16"/>
    </font>
    <font>
      <name val="Arial"/>
      <charset val="1"/>
      <i val="1"/>
      <color rgb="FF595959"/>
      <sz val="10"/>
    </font>
    <font>
      <name val="Arial"/>
      <charset val="1"/>
      <b val="1"/>
      <color rgb="FFFFFFFF"/>
      <sz val="11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sz val="11"/>
    </font>
    <font>
      <name val="Arial"/>
      <charset val="1"/>
      <b val="1"/>
      <color rgb="FF1F4E78"/>
      <sz val="11"/>
    </font>
    <font>
      <name val="Arial"/>
      <charset val="1"/>
      <i val="1"/>
      <sz val="9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EAD3"/>
      </patternFill>
    </fill>
    <fill>
      <patternFill patternType="solid">
        <fgColor rgb="FFFFF2CC"/>
        <bgColor rgb="FFFCE5CD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3" borderId="1" pivotButton="0" quotePrefix="0" xfId="0"/>
    <xf numFmtId="164" fontId="6" fillId="3" borderId="1" pivotButton="0" quotePrefix="0" xfId="0"/>
    <xf numFmtId="0" fontId="6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5" fontId="5" fillId="0" borderId="1" pivotButton="0" quotePrefix="0" xfId="0"/>
    <xf numFmtId="166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5" fillId="5" borderId="1" applyAlignment="1" pivotButton="0" quotePrefix="0" xfId="0">
      <alignment vertical="top" wrapText="1"/>
    </xf>
    <xf numFmtId="0" fontId="0" fillId="5" borderId="0" pivotButton="0" quotePrefix="0" xfId="0"/>
    <xf numFmtId="0" fontId="7" fillId="3" borderId="1" applyAlignment="1" pivotButton="0" quotePrefix="0" xfId="0">
      <alignment horizontal="left" vertical="center"/>
    </xf>
    <xf numFmtId="0" fontId="8" fillId="4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0" fontId="7" fillId="3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53"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6" customWidth="1" min="1" max="1"/>
    <col width="13" customWidth="1" min="2" max="2"/>
    <col width="12" customWidth="1" min="3" max="3"/>
    <col width="13" customWidth="1" min="4" max="6"/>
  </cols>
  <sheetData>
    <row r="1" ht="25.5" customHeight="1">
      <c r="A1" s="18" t="inlineStr">
        <is>
          <t>Data Engineering Learning Tracker</t>
        </is>
      </c>
    </row>
    <row r="2" ht="18" customHeight="1">
      <c r="A2" s="20" t="inlineStr">
        <is>
          <t>Overall progress dashboard — auto-calculated from each topic sheet</t>
        </is>
      </c>
    </row>
    <row r="4" ht="19.5" customHeight="1">
      <c r="A4" s="1" t="inlineStr">
        <is>
          <t>Module</t>
        </is>
      </c>
      <c r="B4" s="1" t="inlineStr">
        <is>
          <t>Total Topics</t>
        </is>
      </c>
      <c r="C4" s="1" t="inlineStr">
        <is>
          <t>Completed</t>
        </is>
      </c>
      <c r="D4" s="1" t="inlineStr">
        <is>
          <t>In Progress</t>
        </is>
      </c>
      <c r="E4" s="1" t="inlineStr">
        <is>
          <t>Not Started</t>
        </is>
      </c>
      <c r="F4" s="1" t="inlineStr">
        <is>
          <t>% Complete</t>
        </is>
      </c>
    </row>
    <row r="5">
      <c r="A5" s="2" t="inlineStr">
        <is>
          <t>SQL</t>
        </is>
      </c>
      <c r="B5" s="3">
        <f>COUNTA(SQL!$B$5:$B$60)</f>
        <v/>
      </c>
      <c r="C5" s="3">
        <f>COUNTIF(SQL!$E$5:$E$60,"Completed")</f>
        <v/>
      </c>
      <c r="D5" s="3">
        <f>COUNTIF(SQL!$E$5:$E$60,"In Progress")</f>
        <v/>
      </c>
      <c r="E5" s="3">
        <f>COUNTIF(SQL!$E$5:$E$60,"Not Started")+COUNTIF(SQL!$E$5:$E$60,"Revise Again")</f>
        <v/>
      </c>
      <c r="F5" s="4">
        <f>IFERROR(C5/B5,0)</f>
        <v/>
      </c>
    </row>
    <row r="6">
      <c r="A6" s="2" t="inlineStr">
        <is>
          <t>Data Warehouse</t>
        </is>
      </c>
      <c r="B6" s="3">
        <f>COUNTA('Data Warehouse'!$B$5:$B$38)</f>
        <v/>
      </c>
      <c r="C6" s="3">
        <f>COUNTIF('Data Warehouse'!$E$5:$E$38,"Completed")</f>
        <v/>
      </c>
      <c r="D6" s="3">
        <f>COUNTIF('Data Warehouse'!$E$5:$E$38,"In Progress")</f>
        <v/>
      </c>
      <c r="E6" s="3">
        <f>COUNTIF('Data Warehouse'!$E$5:$E$38,"Not Started")+COUNTIF('Data Warehouse'!$E$5:$E$38,"Revise Again")</f>
        <v/>
      </c>
      <c r="F6" s="4">
        <f>IFERROR(C6/B6,0)</f>
        <v/>
      </c>
    </row>
    <row r="7">
      <c r="A7" s="2" t="inlineStr">
        <is>
          <t>PySpark</t>
        </is>
      </c>
      <c r="B7" s="3">
        <f>COUNTA(PySpark!$B$5:$B$44)</f>
        <v/>
      </c>
      <c r="C7" s="3">
        <f>COUNTIF(PySpark!$E$5:$E$44,"Completed")</f>
        <v/>
      </c>
      <c r="D7" s="3">
        <f>COUNTIF(PySpark!$E$5:$E$44,"In Progress")</f>
        <v/>
      </c>
      <c r="E7" s="3">
        <f>COUNTIF(PySpark!$E$5:$E$44,"Not Started")+COUNTIF(PySpark!$E$5:$E$44,"Revise Again")</f>
        <v/>
      </c>
      <c r="F7" s="4">
        <f>IFERROR(C7/B7,0)</f>
        <v/>
      </c>
    </row>
    <row r="8">
      <c r="A8" s="2" t="inlineStr">
        <is>
          <t>Databricks</t>
        </is>
      </c>
      <c r="B8" s="3">
        <f>COUNTA(Databricks!$B$5:$B$41)</f>
        <v/>
      </c>
      <c r="C8" s="3">
        <f>COUNTIF(Databricks!$E$5:$E$41,"Completed")</f>
        <v/>
      </c>
      <c r="D8" s="3">
        <f>COUNTIF(Databricks!$E$5:$E$41,"In Progress")</f>
        <v/>
      </c>
      <c r="E8" s="3">
        <f>COUNTIF(Databricks!$E$5:$E$41,"Not Started")+COUNTIF(Databricks!$E$5:$E$41,"Revise Again")</f>
        <v/>
      </c>
      <c r="F8" s="4">
        <f>IFERROR(C8/B8,0)</f>
        <v/>
      </c>
    </row>
    <row r="9">
      <c r="A9" s="2" t="inlineStr">
        <is>
          <t>Project</t>
        </is>
      </c>
      <c r="B9" s="3">
        <f>COUNTA(Project!$B$5:$B$36)</f>
        <v/>
      </c>
      <c r="C9" s="3">
        <f>COUNTIF(Project!$E$5:$E$36,"Completed")</f>
        <v/>
      </c>
      <c r="D9" s="3">
        <f>COUNTIF(Project!$E$5:$E$36,"In Progress")</f>
        <v/>
      </c>
      <c r="E9" s="3">
        <f>COUNTIF(Project!$E$5:$E$36,"Not Started")+COUNTIF(Project!$E$5:$E$36,"Revise Again")</f>
        <v/>
      </c>
      <c r="F9" s="4">
        <f>IFERROR(C9/B9,0)</f>
        <v/>
      </c>
    </row>
    <row r="10">
      <c r="A10" s="2" t="inlineStr">
        <is>
          <t>Interview Essentials</t>
        </is>
      </c>
      <c r="B10" s="3">
        <f>COUNTA('Interview Essentials'!$B$5:$B$26)</f>
        <v/>
      </c>
      <c r="C10" s="3">
        <f>COUNTIF('Interview Essentials'!$E$5:$E$26,"Completed")</f>
        <v/>
      </c>
      <c r="D10" s="3">
        <f>COUNTIF('Interview Essentials'!$E$5:$E$26,"In Progress")</f>
        <v/>
      </c>
      <c r="E10" s="3">
        <f>COUNTIF('Interview Essentials'!$E$5:$E$26,"Not Started")+COUNTIF('Interview Essentials'!$E$5:$E$26,"Revise Again")</f>
        <v/>
      </c>
      <c r="F10" s="4">
        <f>IFERROR(C10/B10,0)</f>
        <v/>
      </c>
    </row>
    <row r="11">
      <c r="A11" s="5" t="inlineStr">
        <is>
          <t>OVERALL</t>
        </is>
      </c>
      <c r="B11" s="5">
        <f>SUM(B5:B10)</f>
        <v/>
      </c>
      <c r="C11" s="5">
        <f>SUM(C5:C10)</f>
        <v/>
      </c>
      <c r="D11" s="5">
        <f>SUM(D5:D10)</f>
        <v/>
      </c>
      <c r="E11" s="5">
        <f>SUM(E5:E10)</f>
        <v/>
      </c>
      <c r="F11" s="6">
        <f>IFERROR(C11/B11,0)</f>
        <v/>
      </c>
    </row>
    <row r="14">
      <c r="A14" s="21" t="inlineStr">
        <is>
          <t>Daily SQL Practice Snapshot</t>
        </is>
      </c>
    </row>
    <row r="15">
      <c r="A15" s="7" t="inlineStr">
        <is>
          <t>Total Practice Days Logged:</t>
        </is>
      </c>
      <c r="C15">
        <f>'Daily SQL Practice Log'!C67</f>
        <v/>
      </c>
    </row>
    <row r="16">
      <c r="A16" s="7" t="inlineStr">
        <is>
          <t>Total Queries Solved:</t>
        </is>
      </c>
      <c r="C16">
        <f>'Daily SQL Practice Log'!C68</f>
        <v/>
      </c>
    </row>
    <row r="17">
      <c r="A17" s="7" t="inlineStr">
        <is>
          <t>Days Target Met (5-10 queries):</t>
        </is>
      </c>
      <c r="C17">
        <f>'Daily SQL Practice Log'!C69</f>
        <v/>
      </c>
    </row>
    <row r="20">
      <c r="A20" s="21" t="inlineStr">
        <is>
          <t>How to use this tracker</t>
        </is>
      </c>
    </row>
    <row r="21" ht="23.85" customHeight="1">
      <c r="A21" s="19" t="inlineStr">
        <is>
          <t>1. Go to each topic tab (SQL, Data Warehouse, PySpark, Databricks, Project, Interview Essentials) and update the 'Status' dropdown as you learn each subtopic.</t>
        </is>
      </c>
    </row>
    <row r="22" ht="15" customHeight="1">
      <c r="A22" s="19" t="inlineStr">
        <is>
          <t>2. Use 'Priority' to flag High/Medium/Low so you know what to focus on next.</t>
        </is>
      </c>
    </row>
    <row r="23" ht="15" customHeight="1">
      <c r="A23" s="19" t="inlineStr">
        <is>
          <t>3. Fill 'Date Started', 'Date Completed', 'Notes / Key Learnings', and 'Resource / Link' as you go.</t>
        </is>
      </c>
    </row>
    <row r="24" ht="23.85" customHeight="1">
      <c r="A24" s="19" t="inlineStr">
        <is>
          <t>4. Log daily SQL practice (5-10 queries) in the 'Daily SQL Practice Log' tab — it auto-flags whether you hit the target.</t>
        </is>
      </c>
    </row>
    <row r="25" ht="23.85" customHeight="1">
      <c r="A25" s="19" t="inlineStr">
        <is>
          <t>5. This Dashboard auto-updates counts and % complete per module from the Status columns — no manual editing needed here (except cells with formulas may be viewed only).</t>
        </is>
      </c>
    </row>
  </sheetData>
  <mergeCells count="9">
    <mergeCell ref="A24:F24"/>
    <mergeCell ref="A2:F2"/>
    <mergeCell ref="A14:F14"/>
    <mergeCell ref="A1:F1"/>
    <mergeCell ref="A23:F23"/>
    <mergeCell ref="A22:F22"/>
    <mergeCell ref="A20:F20"/>
    <mergeCell ref="A21:F21"/>
    <mergeCell ref="A25:F25"/>
  </mergeCells>
  <conditionalFormatting sqref="F5:F11">
    <cfRule type="cellIs" priority="2" operator="lessThan" dxfId="0">
      <formula>0.34</formula>
    </cfRule>
    <cfRule type="cellIs" priority="3" operator="between" dxfId="4">
      <formula>0.34</formula>
      <formula>0.66</formula>
    </cfRule>
    <cfRule type="cellIs" priority="4" operator="greaterThanOrEqual" dxfId="1">
      <formula>0.67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zoomScaleNormal="100" workbookViewId="0">
      <pane ySplit="4" topLeftCell="A5" activePane="bottomLeft" state="frozen"/>
      <selection pane="bottomLeft" activeCell="B45" sqref="B45"/>
    </sheetView>
  </sheetViews>
  <sheetFormatPr baseColWidth="8" defaultColWidth="8.7109375" defaultRowHeight="15"/>
  <cols>
    <col width="5" customWidth="1" min="1" max="1"/>
    <col width="22" customWidth="1" min="2" max="2"/>
    <col width="40" customWidth="1" min="3" max="3"/>
    <col width="10" customWidth="1" min="4" max="4"/>
    <col width="14" customWidth="1" min="5" max="5"/>
    <col width="13" customWidth="1" min="6" max="6"/>
    <col width="15" customWidth="1" min="7" max="7"/>
    <col width="40" customWidth="1" min="8" max="8"/>
    <col width="22" customWidth="1" min="9" max="9"/>
  </cols>
  <sheetData>
    <row r="1" ht="25.5" customHeight="1">
      <c r="A1" s="18" t="inlineStr">
        <is>
          <t>SQL</t>
        </is>
      </c>
    </row>
    <row r="2" ht="18" customHeight="1">
      <c r="A2" s="20" t="inlineStr">
        <is>
          <t>Basics -&gt; Window Functions -&gt; Aggregations -&gt; Joins -&gt; Query Optimization -&gt; SCD -&gt; CDC -&gt; EXISTS -&gt; MERGE</t>
        </is>
      </c>
    </row>
    <row r="3">
      <c r="B3" t="inlineStr">
        <is>
          <t>HakerRank</t>
        </is>
      </c>
      <c r="C3" t="inlineStr">
        <is>
          <t>CodeChef</t>
        </is>
      </c>
    </row>
    <row r="4" ht="19.5" customHeight="1">
      <c r="A4" s="1" t="inlineStr">
        <is>
          <t>#</t>
        </is>
      </c>
      <c r="B4" s="1" t="inlineStr">
        <is>
          <t>Topic Area</t>
        </is>
      </c>
      <c r="C4" s="1" t="inlineStr">
        <is>
          <t>Subtopic / Concept</t>
        </is>
      </c>
      <c r="D4" s="1" t="inlineStr">
        <is>
          <t>Priority</t>
        </is>
      </c>
      <c r="E4" s="1" t="inlineStr">
        <is>
          <t>Status</t>
        </is>
      </c>
      <c r="F4" s="1" t="inlineStr">
        <is>
          <t>Date Started</t>
        </is>
      </c>
      <c r="G4" s="1" t="inlineStr">
        <is>
          <t>Date Completed</t>
        </is>
      </c>
      <c r="H4" s="1" t="inlineStr">
        <is>
          <t>Notes / Key Learnings</t>
        </is>
      </c>
      <c r="I4" s="1" t="inlineStr">
        <is>
          <t>Resource / Link</t>
        </is>
      </c>
    </row>
    <row r="5">
      <c r="A5" s="16" t="inlineStr">
        <is>
          <t>Basics</t>
        </is>
      </c>
      <c r="B5" s="22" t="n"/>
      <c r="C5" s="22" t="n"/>
      <c r="D5" s="22" t="n"/>
      <c r="E5" s="22" t="n"/>
      <c r="F5" s="22" t="n"/>
      <c r="G5" s="22" t="n"/>
      <c r="H5" s="22" t="n"/>
      <c r="I5" s="23" t="n"/>
    </row>
    <row r="6" ht="23.85" customHeight="1">
      <c r="A6" s="8" t="n">
        <v>1</v>
      </c>
      <c r="B6" s="3" t="inlineStr">
        <is>
          <t>Basics</t>
        </is>
      </c>
      <c r="C6" s="9" t="inlineStr">
        <is>
          <t>SELECT, WHERE, ORDER BY, DISTINCT, LIMIT/TOP</t>
        </is>
      </c>
      <c r="D6" s="3" t="inlineStr">
        <is>
          <t>Low</t>
        </is>
      </c>
      <c r="E6" s="3" t="inlineStr">
        <is>
          <t>Completed</t>
        </is>
      </c>
      <c r="F6" s="3" t="n"/>
      <c r="G6" s="3" t="n"/>
      <c r="H6" s="9" t="inlineStr">
        <is>
          <t>Core filtering/sorting. LIMIT/TOP/FETCH FIRST syntax differs by DB (MySQL/Postgres vs SQL Server/Oracle).</t>
        </is>
      </c>
      <c r="I6" s="3" t="n"/>
    </row>
    <row r="7">
      <c r="A7" s="8" t="n">
        <v>2</v>
      </c>
      <c r="B7" s="3" t="inlineStr">
        <is>
          <t>Basics</t>
        </is>
      </c>
      <c r="C7" s="9" t="inlineStr">
        <is>
          <t>Filtering: IN, BETWEEN, LIKE, IS NULL</t>
        </is>
      </c>
      <c r="D7" s="3" t="inlineStr">
        <is>
          <t>Low</t>
        </is>
      </c>
      <c r="E7" s="3" t="inlineStr">
        <is>
          <t>Completed</t>
        </is>
      </c>
      <c r="F7" s="3" t="n"/>
      <c r="G7" s="3" t="n"/>
      <c r="H7" s="9" t="inlineStr">
        <is>
          <t>IN for discrete sets, BETWEEN inclusive ranges, LIKE with %/_ wildcards, IS NULL (never = NULL since NULL isn't comparable).</t>
        </is>
      </c>
      <c r="I7" s="3" t="n"/>
    </row>
    <row r="8">
      <c r="A8" s="8" t="n">
        <v>3</v>
      </c>
      <c r="B8" s="3" t="inlineStr">
        <is>
          <t>Basics</t>
        </is>
      </c>
      <c r="C8" s="9" t="inlineStr">
        <is>
          <t>GROUP BY and HAVING</t>
        </is>
      </c>
      <c r="D8" s="3" t="inlineStr">
        <is>
          <t>Low</t>
        </is>
      </c>
      <c r="E8" s="3" t="inlineStr">
        <is>
          <t>Completed</t>
        </is>
      </c>
      <c r="F8" s="3" t="n"/>
      <c r="G8" s="3" t="n"/>
      <c r="H8" s="9" t="inlineStr">
        <is>
          <t>GROUP BY aggregates rows; HAVING filters after aggregation (WHERE filters before). Every non-aggregated SELECT column must be in GROUP BY.</t>
        </is>
      </c>
      <c r="I8" s="3" t="n"/>
    </row>
    <row r="9">
      <c r="A9" s="8" t="n">
        <v>4</v>
      </c>
      <c r="B9" s="3" t="inlineStr">
        <is>
          <t>Basics</t>
        </is>
      </c>
      <c r="C9" s="9" t="inlineStr">
        <is>
          <t>Data types, constraints, basic DDL/DML</t>
        </is>
      </c>
      <c r="D9" s="3" t="inlineStr">
        <is>
          <t>Low</t>
        </is>
      </c>
      <c r="E9" s="3" t="inlineStr">
        <is>
          <t>Completed</t>
        </is>
      </c>
      <c r="F9" s="3" t="n"/>
      <c r="G9" s="3" t="n"/>
      <c r="H9" s="9" t="inlineStr">
        <is>
          <t>DDL: CREATE/ALTER/DROP define structure. DML: INSERT/UPDATE/DELETE modify data. Constraints: PK, FK, UNIQUE, CHECK, NOT NULL, DEFAULT.</t>
        </is>
      </c>
      <c r="I9" s="3" t="n"/>
    </row>
    <row r="10">
      <c r="A10" s="16" t="inlineStr">
        <is>
          <t>Aggregations</t>
        </is>
      </c>
      <c r="B10" s="22" t="n"/>
      <c r="C10" s="22" t="n"/>
      <c r="D10" s="22" t="n"/>
      <c r="E10" s="22" t="n"/>
      <c r="F10" s="22" t="n"/>
      <c r="G10" s="22" t="n"/>
      <c r="H10" s="22" t="n"/>
      <c r="I10" s="23" t="n"/>
    </row>
    <row r="11">
      <c r="A11" s="8" t="n">
        <v>5</v>
      </c>
      <c r="B11" s="3" t="inlineStr">
        <is>
          <t>Aggregations</t>
        </is>
      </c>
      <c r="C11" s="9" t="inlineStr">
        <is>
          <t>COUNT, SUM, AVG, MIN, MAX</t>
        </is>
      </c>
      <c r="D11" s="3" t="inlineStr">
        <is>
          <t>Low</t>
        </is>
      </c>
      <c r="E11" s="3" t="inlineStr">
        <is>
          <t>Completed</t>
        </is>
      </c>
      <c r="F11" s="3" t="n"/>
      <c r="G11" s="3" t="n"/>
      <c r="H11" s="9" t="inlineStr">
        <is>
          <t>COUNT(*) counts rows incl NULLs; COUNT(col) excludes NULLs. Aggregates ignore NULLs by default in SUM/AVG.</t>
        </is>
      </c>
      <c r="I11" s="3" t="n"/>
    </row>
    <row r="12">
      <c r="A12" s="8" t="n">
        <v>6</v>
      </c>
      <c r="B12" s="3" t="inlineStr">
        <is>
          <t>Aggregations</t>
        </is>
      </c>
      <c r="C12" s="9" t="inlineStr">
        <is>
          <t>GROUP BY with multiple columns</t>
        </is>
      </c>
      <c r="D12" s="3" t="inlineStr">
        <is>
          <t>Low</t>
        </is>
      </c>
      <c r="E12" s="3" t="inlineStr">
        <is>
          <t>Completed</t>
        </is>
      </c>
      <c r="F12" s="3" t="n"/>
      <c r="G12" s="3" t="n"/>
      <c r="H12" s="9" t="inlineStr">
        <is>
          <t>Groups form on every unique combination of listed columns; order affects grouping granularity, not aggregation result.</t>
        </is>
      </c>
      <c r="I12" s="3" t="n"/>
    </row>
    <row r="13">
      <c r="A13" s="8" t="n">
        <v>7</v>
      </c>
      <c r="B13" s="3" t="inlineStr">
        <is>
          <t>Aggregations</t>
        </is>
      </c>
      <c r="C13" s="9" t="inlineStr">
        <is>
          <t>ROLLUP, CUBE, GROUPING SETS</t>
        </is>
      </c>
      <c r="D13" s="3" t="inlineStr">
        <is>
          <t>Medium</t>
        </is>
      </c>
      <c r="E13" s="3" t="inlineStr">
        <is>
          <t>Completed</t>
        </is>
      </c>
      <c r="F13" s="3" t="n"/>
      <c r="G13" s="3" t="n"/>
      <c r="H13" s="9" t="inlineStr">
        <is>
          <t>ROLLUP gives hierarchical subtotals (e.g. year&gt;month&gt;total); CUBE gives all combinations; GROUPING SETS lets you define custom subtotal combos explicitly.</t>
        </is>
      </c>
      <c r="I13" s="3" t="n"/>
    </row>
    <row r="14">
      <c r="A14" s="16" t="inlineStr">
        <is>
          <t>Joins</t>
        </is>
      </c>
      <c r="B14" s="22" t="n"/>
      <c r="C14" s="22" t="n"/>
      <c r="D14" s="22" t="n"/>
      <c r="E14" s="22" t="n"/>
      <c r="F14" s="22" t="n"/>
      <c r="G14" s="22" t="n"/>
      <c r="H14" s="22" t="n"/>
      <c r="I14" s="23" t="n"/>
    </row>
    <row r="15">
      <c r="A15" s="8" t="n">
        <v>8</v>
      </c>
      <c r="B15" s="3" t="inlineStr">
        <is>
          <t>Joins</t>
        </is>
      </c>
      <c r="C15" s="9" t="inlineStr">
        <is>
          <t>INNER JOIN</t>
        </is>
      </c>
      <c r="D15" s="3" t="inlineStr">
        <is>
          <t>Low</t>
        </is>
      </c>
      <c r="E15" s="3" t="inlineStr">
        <is>
          <t>Completed</t>
        </is>
      </c>
      <c r="F15" s="3" t="n"/>
      <c r="G15" s="3" t="n"/>
      <c r="H15" s="9" t="inlineStr">
        <is>
          <t>Returns only matching rows in both tables based on join condition.</t>
        </is>
      </c>
      <c r="I15" s="3" t="n"/>
    </row>
    <row r="16">
      <c r="A16" s="8" t="n">
        <v>9</v>
      </c>
      <c r="B16" s="3" t="inlineStr">
        <is>
          <t>Joins</t>
        </is>
      </c>
      <c r="C16" s="9" t="inlineStr">
        <is>
          <t>LEFT / RIGHT JOIN</t>
        </is>
      </c>
      <c r="D16" s="3" t="inlineStr">
        <is>
          <t>Low</t>
        </is>
      </c>
      <c r="E16" s="3" t="inlineStr">
        <is>
          <t>Completed</t>
        </is>
      </c>
      <c r="F16" s="3" t="n"/>
      <c r="G16" s="3" t="n"/>
      <c r="H16" s="9" t="inlineStr">
        <is>
          <t>LEFT keeps all left rows + matched right (NULLs if no match); RIGHT is mirror. Prefer LEFT JOIN everywhere for readability.</t>
        </is>
      </c>
      <c r="I16" s="3" t="n"/>
    </row>
    <row r="17">
      <c r="A17" s="8" t="n">
        <v>10</v>
      </c>
      <c r="B17" s="3" t="inlineStr">
        <is>
          <t>Joins</t>
        </is>
      </c>
      <c r="C17" s="9" t="inlineStr">
        <is>
          <t>FULL OUTER JOIN</t>
        </is>
      </c>
      <c r="D17" s="3" t="inlineStr">
        <is>
          <t>Low</t>
        </is>
      </c>
      <c r="E17" s="3" t="inlineStr">
        <is>
          <t>Completed</t>
        </is>
      </c>
      <c r="F17" s="3" t="n"/>
      <c r="G17" s="3" t="n"/>
      <c r="H17" s="9" t="inlineStr">
        <is>
          <t>Returns all rows from both sides, NULLs where no match; MySQL lacks native support, emulate via LEFT UNION RIGHT.</t>
        </is>
      </c>
      <c r="I17" s="3" t="n"/>
    </row>
    <row r="18">
      <c r="A18" s="8" t="n">
        <v>11</v>
      </c>
      <c r="B18" s="3" t="inlineStr">
        <is>
          <t>Joins</t>
        </is>
      </c>
      <c r="C18" s="9" t="inlineStr">
        <is>
          <t>SELF JOIN</t>
        </is>
      </c>
      <c r="D18" s="3" t="inlineStr">
        <is>
          <t>Medium</t>
        </is>
      </c>
      <c r="E18" s="3" t="inlineStr">
        <is>
          <t>Completed</t>
        </is>
      </c>
      <c r="F18" s="3" t="n"/>
      <c r="G18" s="3" t="n"/>
      <c r="H18" s="9" t="inlineStr">
        <is>
          <t>Table joined to itself using aliases; used for hierarchies (employee-manager), sequential comparisons.</t>
        </is>
      </c>
      <c r="I18" s="3" t="n"/>
    </row>
    <row r="19">
      <c r="A19" s="8" t="n">
        <v>12</v>
      </c>
      <c r="B19" s="3" t="inlineStr">
        <is>
          <t>Joins</t>
        </is>
      </c>
      <c r="C19" s="9" t="inlineStr">
        <is>
          <t>CROSS JOIN</t>
        </is>
      </c>
      <c r="D19" s="3" t="inlineStr">
        <is>
          <t>Low</t>
        </is>
      </c>
      <c r="E19" s="3" t="inlineStr">
        <is>
          <t>Completed</t>
        </is>
      </c>
      <c r="F19" s="3" t="n"/>
      <c r="G19" s="3" t="n"/>
      <c r="H19" s="9" t="inlineStr">
        <is>
          <t>Cartesian product of two tables (no join condition) — rows_A x rows_B. Used for combinatorial generation.</t>
        </is>
      </c>
      <c r="I19" s="3" t="n"/>
    </row>
    <row r="20" ht="23.85" customHeight="1">
      <c r="A20" s="8" t="n">
        <v>13</v>
      </c>
      <c r="B20" s="3" t="inlineStr">
        <is>
          <t>Joins</t>
        </is>
      </c>
      <c r="C20" s="9" t="inlineStr">
        <is>
          <t>Anti-join / Semi-join patterns (NOT EXISTS, NOT IN)</t>
        </is>
      </c>
      <c r="D20" s="3" t="inlineStr">
        <is>
          <t>High</t>
        </is>
      </c>
      <c r="E20" s="3" t="inlineStr">
        <is>
          <t>Completed</t>
        </is>
      </c>
      <c r="F20" s="3" t="n"/>
      <c r="G20" s="3" t="n"/>
      <c r="H20" s="9" t="inlineStr">
        <is>
          <t>NOT EXISTS/LEFT JOIN...IS NULL for anti-join (rows with no match). Prefer NOT EXISTS over NOT IN since NOT IN breaks on NULLs in subquery.</t>
        </is>
      </c>
      <c r="I20" s="3" t="n"/>
    </row>
    <row r="21">
      <c r="A21" s="16" t="inlineStr">
        <is>
          <t>Window Functions</t>
        </is>
      </c>
      <c r="B21" s="22" t="n"/>
      <c r="C21" s="22" t="n"/>
      <c r="D21" s="22" t="n"/>
      <c r="E21" s="22" t="n"/>
      <c r="F21" s="22" t="n"/>
      <c r="G21" s="22" t="n"/>
      <c r="H21" s="22" t="n"/>
      <c r="I21" s="23" t="n"/>
    </row>
    <row r="22">
      <c r="A22" s="8" t="n">
        <v>14</v>
      </c>
      <c r="B22" s="3" t="inlineStr">
        <is>
          <t>Window Functions</t>
        </is>
      </c>
      <c r="C22" s="9" t="inlineStr">
        <is>
          <t>ROW_NUMBER, RANK, DENSE_RANK</t>
        </is>
      </c>
      <c r="D22" s="3" t="inlineStr">
        <is>
          <t>High</t>
        </is>
      </c>
      <c r="E22" s="3" t="inlineStr">
        <is>
          <t>Completed</t>
        </is>
      </c>
      <c r="F22" s="3" t="n"/>
      <c r="G22" s="3" t="n"/>
      <c r="H22" s="9" t="inlineStr">
        <is>
          <t>ROW_NUMBER: unique sequential rank, no ties. RANK: ties share rank, gaps after. DENSE_RANK: ties share rank, no gaps. Classic dedup pattern: ROW_NUMBER() OVER(PARTITION BY key ORDER BY ts DESC)=1.</t>
        </is>
      </c>
      <c r="I22" s="3" t="n"/>
    </row>
    <row r="23">
      <c r="A23" s="8" t="n">
        <v>15</v>
      </c>
      <c r="B23" s="3" t="inlineStr">
        <is>
          <t>Window Functions</t>
        </is>
      </c>
      <c r="C23" s="9" t="inlineStr">
        <is>
          <t>LEAD, LAG</t>
        </is>
      </c>
      <c r="D23" s="3" t="inlineStr">
        <is>
          <t>High</t>
        </is>
      </c>
      <c r="E23" s="3" t="inlineStr">
        <is>
          <t>Completed</t>
        </is>
      </c>
      <c r="F23" s="3" t="n"/>
      <c r="G23" s="3" t="n"/>
      <c r="H23" s="9" t="inlineStr">
        <is>
          <t>Access next/previous row's value within a partition without self-join; used for period-over-period comparisons, gap analysis.</t>
        </is>
      </c>
      <c r="I23" s="3" t="n"/>
    </row>
    <row r="24" ht="23.85" customHeight="1">
      <c r="A24" s="8" t="n">
        <v>16</v>
      </c>
      <c r="B24" s="3" t="inlineStr">
        <is>
          <t>Window Functions</t>
        </is>
      </c>
      <c r="C24" s="9" t="inlineStr">
        <is>
          <t>SUM/AVG OVER (PARTITION BY ... ORDER BY ...)</t>
        </is>
      </c>
      <c r="D24" s="3" t="inlineStr">
        <is>
          <t>High</t>
        </is>
      </c>
      <c r="E24" s="3" t="inlineStr">
        <is>
          <t>Completed</t>
        </is>
      </c>
      <c r="F24" s="3" t="n"/>
      <c r="G24" s="3" t="n"/>
      <c r="H24" s="9" t="inlineStr">
        <is>
          <t>Window aggregation keeps row-level detail while adding aggregate context (e.g. % of category total).</t>
        </is>
      </c>
      <c r="I24" s="3" t="n"/>
    </row>
    <row r="25">
      <c r="A25" s="8" t="n">
        <v>17</v>
      </c>
      <c r="B25" s="3" t="inlineStr">
        <is>
          <t>Window Functions</t>
        </is>
      </c>
      <c r="C25" s="9" t="inlineStr">
        <is>
          <t>Running totals &amp; moving averages</t>
        </is>
      </c>
      <c r="D25" s="3" t="inlineStr">
        <is>
          <t>High</t>
        </is>
      </c>
      <c r="E25" s="3" t="inlineStr">
        <is>
          <t>Completed</t>
        </is>
      </c>
      <c r="F25" s="3" t="n"/>
      <c r="G25" s="3" t="n"/>
      <c r="H25" s="9" t="inlineStr">
        <is>
          <t>Running total: SUM(x) OVER(ORDER BY date ROWS BETWEEN UNBOUNDED PRECEDING AND CURRENT ROW). Moving avg: bound the frame to N preceding rows.</t>
        </is>
      </c>
      <c r="I25" s="3" t="n"/>
    </row>
    <row r="26">
      <c r="A26" s="8" t="n">
        <v>18</v>
      </c>
      <c r="B26" s="3" t="inlineStr">
        <is>
          <t>Window Functions</t>
        </is>
      </c>
      <c r="C26" s="9" t="inlineStr">
        <is>
          <t>NTILE, FIRST_VALUE, LAST_VALUE</t>
        </is>
      </c>
      <c r="D26" s="3" t="inlineStr">
        <is>
          <t>Medium</t>
        </is>
      </c>
      <c r="E26" s="3" t="inlineStr">
        <is>
          <t>Completed</t>
        </is>
      </c>
      <c r="F26" s="3" t="n"/>
      <c r="G26" s="3" t="n"/>
      <c r="H26" s="9" t="inlineStr">
        <is>
          <t>NTILE(n) buckets rows into n equal groups (percentiles/quartiles). FIRST_VALUE/LAST_VALUE need explicit frame clause or LAST_VALUE returns current row only.</t>
        </is>
      </c>
      <c r="I26" s="3" t="n"/>
    </row>
    <row r="27">
      <c r="A27" s="16" t="inlineStr">
        <is>
          <t>Query Optimization</t>
        </is>
      </c>
      <c r="B27" s="22" t="n"/>
      <c r="C27" s="22" t="n"/>
      <c r="D27" s="22" t="n"/>
      <c r="E27" s="22" t="n"/>
      <c r="F27" s="22" t="n"/>
      <c r="G27" s="22" t="n"/>
      <c r="H27" s="22" t="n"/>
      <c r="I27" s="23" t="n"/>
    </row>
    <row r="28">
      <c r="A28" s="8" t="n">
        <v>19</v>
      </c>
      <c r="B28" s="3" t="inlineStr">
        <is>
          <t>Query Optimization</t>
        </is>
      </c>
      <c r="C28" s="9" t="inlineStr">
        <is>
          <t>Reading execution/query plans</t>
        </is>
      </c>
      <c r="D28" s="3" t="inlineStr">
        <is>
          <t>High</t>
        </is>
      </c>
      <c r="E28" s="3" t="inlineStr">
        <is>
          <t>Completed</t>
        </is>
      </c>
      <c r="F28" s="3" t="n"/>
      <c r="G28" s="3" t="n"/>
      <c r="H28" s="9" t="inlineStr">
        <is>
          <t>EXPLAIN/EXPLAIN ANALYZE shows join order, scan type (seq vs index), estimated vs actual rows, cost — used to spot missing indexes and bad estimates.</t>
        </is>
      </c>
      <c r="I28" s="3" t="n"/>
    </row>
    <row r="29">
      <c r="A29" s="8" t="n">
        <v>20</v>
      </c>
      <c r="B29" s="3" t="inlineStr">
        <is>
          <t>Query Optimization</t>
        </is>
      </c>
      <c r="C29" s="9" t="inlineStr">
        <is>
          <t>Index usage basics</t>
        </is>
      </c>
      <c r="D29" s="3" t="inlineStr">
        <is>
          <t>High</t>
        </is>
      </c>
      <c r="E29" s="3" t="inlineStr">
        <is>
          <t>Completed</t>
        </is>
      </c>
      <c r="F29" s="3" t="n"/>
      <c r="G29" s="3" t="n"/>
      <c r="H29" s="9" t="inlineStr">
        <is>
          <t>Indexes speed up WHERE/JOIN/ORDER BY on selective columns at the cost of write overhead and storage; composite index column order matters (leftmost prefix rule).</t>
        </is>
      </c>
      <c r="I29" s="3" t="n"/>
    </row>
    <row r="30">
      <c r="A30" s="8" t="n">
        <v>21</v>
      </c>
      <c r="B30" s="3" t="inlineStr">
        <is>
          <t>Query Optimization</t>
        </is>
      </c>
      <c r="C30" s="9" t="inlineStr">
        <is>
          <t>Avoiding SELECT *, sargable predicates</t>
        </is>
      </c>
      <c r="D30" s="3" t="inlineStr">
        <is>
          <t>Medium</t>
        </is>
      </c>
      <c r="E30" s="3" t="inlineStr">
        <is>
          <t>Completed</t>
        </is>
      </c>
      <c r="F30" s="3" t="n"/>
      <c r="G30" s="3" t="n"/>
      <c r="H30" s="9" t="inlineStr">
        <is>
          <t>SELECT * prevents covering-index use and wastes I/O. Sargable = predicate can use an index (avoid wrapping indexed column in a function, e.g. WHERE YEAR(date)=2024).</t>
        </is>
      </c>
      <c r="I30" s="3" t="n"/>
    </row>
    <row r="31">
      <c r="A31" s="8" t="n">
        <v>22</v>
      </c>
      <c r="B31" s="3" t="inlineStr">
        <is>
          <t>Query Optimization</t>
        </is>
      </c>
      <c r="C31" s="9" t="inlineStr">
        <is>
          <t>CTE vs subquery vs temp table performance</t>
        </is>
      </c>
      <c r="D31" s="3" t="inlineStr">
        <is>
          <t>Medium</t>
        </is>
      </c>
      <c r="E31" s="3" t="inlineStr">
        <is>
          <t>Completed</t>
        </is>
      </c>
      <c r="F31" s="3" t="n"/>
      <c r="G31" s="3" t="n"/>
      <c r="H31" s="9" t="inlineStr">
        <is>
          <t>CTE: readability, usually inlined by optimizer (not materialized unless recursive/hinted). Subquery: similar, can be correlated. Temp table: materialized with stats, better for reuse across multiple large queries.</t>
        </is>
      </c>
      <c r="I31" s="3" t="n"/>
    </row>
    <row r="32">
      <c r="A32" s="16" t="inlineStr">
        <is>
          <t>SCD Types</t>
        </is>
      </c>
      <c r="B32" s="22" t="n"/>
      <c r="C32" s="22" t="n"/>
      <c r="D32" s="22" t="n"/>
      <c r="E32" s="22" t="n"/>
      <c r="F32" s="22" t="n"/>
      <c r="G32" s="22" t="n"/>
      <c r="H32" s="22" t="n"/>
      <c r="I32" s="23" t="n"/>
    </row>
    <row r="33">
      <c r="A33" s="8" t="n">
        <v>23</v>
      </c>
      <c r="B33" s="3" t="inlineStr">
        <is>
          <t>SCD Types</t>
        </is>
      </c>
      <c r="C33" s="9" t="inlineStr">
        <is>
          <t>SCD Type 0, 1, 2, 3 concepts</t>
        </is>
      </c>
      <c r="D33" s="3" t="inlineStr">
        <is>
          <t>High</t>
        </is>
      </c>
      <c r="E33" s="3" t="inlineStr">
        <is>
          <t>Completed</t>
        </is>
      </c>
      <c r="F33" s="3" t="n"/>
      <c r="G33" s="3" t="n"/>
      <c r="H33" s="9" t="inlineStr">
        <is>
          <t>Type0: never changes. Type1: overwrite (no history). Type2: new row per change with effective_start/end + is_current flag (full history). Type3: extra column for previous value only (limited history).</t>
        </is>
      </c>
      <c r="I33" s="3" t="n"/>
    </row>
    <row r="34">
      <c r="A34" s="8" t="n">
        <v>24</v>
      </c>
      <c r="B34" s="3" t="inlineStr">
        <is>
          <t>SCD Types</t>
        </is>
      </c>
      <c r="C34" s="9" t="inlineStr">
        <is>
          <t>Implementing SCD Type 2 with SQL</t>
        </is>
      </c>
      <c r="D34" s="3" t="inlineStr">
        <is>
          <t>High</t>
        </is>
      </c>
      <c r="E34" s="3" t="inlineStr">
        <is>
          <t>Completed</t>
        </is>
      </c>
      <c r="F34" s="3" t="n"/>
      <c r="G34" s="3" t="n"/>
      <c r="H34" s="9" t="inlineStr">
        <is>
          <t>MERGE: expire current row (set end_date, is_current=0) when a tracked attribute changes, then INSERT new row with new surrogate key and is_current=1.</t>
        </is>
      </c>
      <c r="I34" s="3" t="n"/>
    </row>
    <row r="35">
      <c r="A35" s="16" t="inlineStr">
        <is>
          <t>CDC</t>
        </is>
      </c>
      <c r="B35" s="22" t="n"/>
      <c r="C35" s="22" t="n"/>
      <c r="D35" s="22" t="n"/>
      <c r="E35" s="22" t="n"/>
      <c r="F35" s="22" t="n"/>
      <c r="G35" s="22" t="n"/>
      <c r="H35" s="22" t="n"/>
      <c r="I35" s="23" t="n"/>
    </row>
    <row r="36">
      <c r="A36" s="8" t="n">
        <v>25</v>
      </c>
      <c r="B36" s="3" t="inlineStr">
        <is>
          <t>CDC</t>
        </is>
      </c>
      <c r="C36" s="9" t="inlineStr">
        <is>
          <t>Change Data Capture concepts</t>
        </is>
      </c>
      <c r="D36" s="3" t="inlineStr">
        <is>
          <t>High</t>
        </is>
      </c>
      <c r="E36" s="3" t="inlineStr">
        <is>
          <t>Completed</t>
        </is>
      </c>
      <c r="F36" s="3" t="n"/>
      <c r="G36" s="3" t="n"/>
      <c r="H36" s="9" t="inlineStr">
        <is>
          <t>Captures inserts/updates/deletes from source since last sync, so downstream only processes deltas instead of full reload.</t>
        </is>
      </c>
      <c r="I36" s="3" t="n"/>
    </row>
    <row r="37" ht="23.85" customHeight="1">
      <c r="A37" s="8" t="n">
        <v>26</v>
      </c>
      <c r="B37" s="3" t="inlineStr">
        <is>
          <t>CDC</t>
        </is>
      </c>
      <c r="C37" s="9" t="inlineStr">
        <is>
          <t>CDC implementation patterns (timestamp/log-based)</t>
        </is>
      </c>
      <c r="D37" s="3" t="inlineStr">
        <is>
          <t>High</t>
        </is>
      </c>
      <c r="E37" s="3" t="inlineStr">
        <is>
          <t>Completed</t>
        </is>
      </c>
      <c r="F37" s="3" t="n"/>
      <c r="G37" s="3" t="n"/>
      <c r="H37" s="9" t="inlineStr">
        <is>
          <t>Timestamp-based: filter on updated_at/watermark (misses hard deletes). Log-based (e.g. SQL Server CDC/Debezium): reads transaction log, captures all DML including deletes, near real-time.</t>
        </is>
      </c>
      <c r="I37" s="3" t="n"/>
    </row>
    <row r="38">
      <c r="A38" s="16" t="inlineStr">
        <is>
          <t>EXISTS</t>
        </is>
      </c>
      <c r="B38" s="22" t="n"/>
      <c r="C38" s="22" t="n"/>
      <c r="D38" s="22" t="n"/>
      <c r="E38" s="22" t="n"/>
      <c r="F38" s="22" t="n"/>
      <c r="G38" s="22" t="n"/>
      <c r="H38" s="22" t="n"/>
      <c r="I38" s="23" t="n"/>
    </row>
    <row r="39">
      <c r="A39" s="8" t="n">
        <v>27</v>
      </c>
      <c r="B39" s="3" t="inlineStr">
        <is>
          <t>EXISTS</t>
        </is>
      </c>
      <c r="C39" s="9" t="inlineStr">
        <is>
          <t>EXISTS vs IN vs JOIN performance</t>
        </is>
      </c>
      <c r="D39" s="3" t="inlineStr">
        <is>
          <t>High</t>
        </is>
      </c>
      <c r="E39" s="3" t="inlineStr">
        <is>
          <t>Completed</t>
        </is>
      </c>
      <c r="F39" s="3" t="n"/>
      <c r="G39" s="3" t="n"/>
      <c r="H39" s="9" t="inlineStr">
        <is>
          <t>EXISTS stops at first match (good for large subqueries, handles NULLs safely). IN materializes full list. JOIN needed when you also need columns from the other table; can duplicate rows on 1:many.</t>
        </is>
      </c>
      <c r="I39" s="3" t="n"/>
    </row>
    <row r="40">
      <c r="A40" s="16" t="inlineStr">
        <is>
          <t>MERGE</t>
        </is>
      </c>
      <c r="B40" s="22" t="n"/>
      <c r="C40" s="22" t="n"/>
      <c r="D40" s="22" t="n"/>
      <c r="E40" s="22" t="n"/>
      <c r="F40" s="22" t="n"/>
      <c r="G40" s="22" t="n"/>
      <c r="H40" s="22" t="n"/>
      <c r="I40" s="23" t="n"/>
    </row>
    <row r="41">
      <c r="A41" s="8" t="n">
        <v>28</v>
      </c>
      <c r="B41" s="3" t="inlineStr">
        <is>
          <t>MERGE</t>
        </is>
      </c>
      <c r="C41" s="9" t="inlineStr">
        <is>
          <t>MERGE statement (upsert logic)</t>
        </is>
      </c>
      <c r="D41" s="3" t="inlineStr">
        <is>
          <t>High</t>
        </is>
      </c>
      <c r="E41" s="3" t="inlineStr">
        <is>
          <t>Completed</t>
        </is>
      </c>
      <c r="F41" s="3" t="n"/>
      <c r="G41" s="3" t="n"/>
      <c r="H41" s="9" t="inlineStr">
        <is>
          <t>Single statement: MATCHED -&gt; UPDATE, NOT MATCHED -&gt; INSERT (optionally NOT MATCHED BY SOURCE -&gt; DELETE). Core pattern for Silver-layer upserts in Delta/SQL Server.</t>
        </is>
      </c>
      <c r="I41" s="3" t="n"/>
    </row>
    <row r="42">
      <c r="A42" s="16" t="inlineStr">
        <is>
          <t>Subqueries &amp; CTEs</t>
        </is>
      </c>
      <c r="B42" s="22" t="n"/>
      <c r="C42" s="22" t="n"/>
      <c r="D42" s="22" t="n"/>
      <c r="E42" s="22" t="n"/>
      <c r="F42" s="22" t="n"/>
      <c r="G42" s="22" t="n"/>
      <c r="H42" s="22" t="n"/>
      <c r="I42" s="23" t="n"/>
    </row>
    <row r="43">
      <c r="A43" s="8" t="n">
        <v>29</v>
      </c>
      <c r="B43" s="3" t="inlineStr">
        <is>
          <t>Subqueries &amp; CTEs</t>
        </is>
      </c>
      <c r="C43" s="9" t="inlineStr">
        <is>
          <t>Correlated vs non-correlated subqueries</t>
        </is>
      </c>
      <c r="D43" s="3" t="inlineStr">
        <is>
          <t>Medium</t>
        </is>
      </c>
      <c r="E43" s="3" t="inlineStr">
        <is>
          <t>Completed</t>
        </is>
      </c>
      <c r="F43" s="3" t="n"/>
      <c r="G43" s="3" t="n"/>
      <c r="H43" s="9" t="inlineStr">
        <is>
          <t>Correlated subquery references outer query column, re-evaluated per outer row (can be slow). Non-correlated runs once independently.</t>
        </is>
      </c>
      <c r="I43" s="3" t="n"/>
    </row>
    <row r="44">
      <c r="A44" s="8" t="n">
        <v>30</v>
      </c>
      <c r="B44" s="3" t="inlineStr">
        <is>
          <t>Subqueries &amp; CTEs</t>
        </is>
      </c>
      <c r="C44" s="9" t="inlineStr">
        <is>
          <t>Common Table Expressions (CTE)</t>
        </is>
      </c>
      <c r="D44" s="3" t="inlineStr">
        <is>
          <t>Low</t>
        </is>
      </c>
      <c r="E44" s="3" t="inlineStr">
        <is>
          <t>Completed</t>
        </is>
      </c>
      <c r="F44" s="3" t="n"/>
      <c r="G44" s="3" t="n"/>
      <c r="H44" s="9" t="inlineStr">
        <is>
          <t>WITH clause defines a named, reusable result set for the query; improves readability, supports chaining multiple CTEs.</t>
        </is>
      </c>
      <c r="I44" s="3" t="n"/>
    </row>
    <row r="45">
      <c r="A45" s="8" t="n">
        <v>31</v>
      </c>
      <c r="B45" s="3" t="inlineStr">
        <is>
          <t>Subqueries &amp; CTEs</t>
        </is>
      </c>
      <c r="C45" s="9" t="inlineStr">
        <is>
          <t>Recursive CTE</t>
        </is>
      </c>
      <c r="D45" s="3" t="inlineStr">
        <is>
          <t>Medium</t>
        </is>
      </c>
      <c r="E45" s="3" t="inlineStr">
        <is>
          <t>Completed</t>
        </is>
      </c>
      <c r="F45" s="3" t="n"/>
      <c r="G45" s="3" t="n"/>
      <c r="H45" s="9" t="inlineStr">
        <is>
          <t>CTE referencing itself with anchor + recursive member, used for hierarchies/org charts/bill-of-materials traversal; needs a terminating condition.</t>
        </is>
      </c>
      <c r="I45" s="3" t="n"/>
    </row>
    <row r="46">
      <c r="A46" s="16" t="inlineStr">
        <is>
          <t>Indexing</t>
        </is>
      </c>
      <c r="B46" s="22" t="n"/>
      <c r="C46" s="22" t="n"/>
      <c r="D46" s="22" t="n"/>
      <c r="E46" s="22" t="n"/>
      <c r="F46" s="22" t="n"/>
      <c r="G46" s="22" t="n"/>
      <c r="H46" s="22" t="n"/>
      <c r="I46" s="23" t="n"/>
    </row>
    <row r="47">
      <c r="A47" s="8" t="n">
        <v>32</v>
      </c>
      <c r="B47" s="3" t="inlineStr">
        <is>
          <t>Indexing</t>
        </is>
      </c>
      <c r="C47" s="9" t="inlineStr">
        <is>
          <t>Clustered vs Non-clustered index</t>
        </is>
      </c>
      <c r="D47" s="3" t="inlineStr">
        <is>
          <t>High</t>
        </is>
      </c>
      <c r="E47" s="3" t="inlineStr">
        <is>
          <t>Completed</t>
        </is>
      </c>
      <c r="F47" s="3" t="n"/>
      <c r="G47" s="3" t="n"/>
      <c r="H47" s="9" t="inlineStr">
        <is>
          <t>Clustered index physically orders table data (one per table, usually PK). Non-clustered is a separate structure with pointers back to data (many allowed per table).</t>
        </is>
      </c>
      <c r="I47" s="3" t="n"/>
    </row>
    <row r="48">
      <c r="A48" s="8" t="n">
        <v>33</v>
      </c>
      <c r="B48" s="3" t="inlineStr">
        <is>
          <t>Indexing</t>
        </is>
      </c>
      <c r="C48" s="9" t="inlineStr">
        <is>
          <t>When indexes help vs hurt performance</t>
        </is>
      </c>
      <c r="D48" s="3" t="inlineStr">
        <is>
          <t>Medium</t>
        </is>
      </c>
      <c r="E48" s="3" t="inlineStr">
        <is>
          <t>Completed</t>
        </is>
      </c>
      <c r="F48" s="3" t="n"/>
      <c r="G48" s="3" t="n"/>
      <c r="H48" s="9" t="inlineStr">
        <is>
          <t>Help: selective WHERE/JOIN/ORDER BY columns, read-heavy tables. Hurt: low-cardinality columns, heavy write/insert tables (index maintenance overhead), over-indexing bloats storage.</t>
        </is>
      </c>
      <c r="I48" s="3" t="n"/>
    </row>
    <row r="49">
      <c r="A49" s="16" t="inlineStr">
        <is>
          <t>Data Modeling Basics</t>
        </is>
      </c>
      <c r="B49" s="22" t="n"/>
      <c r="C49" s="22" t="n"/>
      <c r="D49" s="22" t="n"/>
      <c r="E49" s="22" t="n"/>
      <c r="F49" s="22" t="n"/>
      <c r="G49" s="22" t="n"/>
      <c r="H49" s="22" t="n"/>
      <c r="I49" s="23" t="n"/>
    </row>
    <row r="50">
      <c r="A50" s="8" t="n">
        <v>34</v>
      </c>
      <c r="B50" s="3" t="inlineStr">
        <is>
          <t>Data Modeling Basics</t>
        </is>
      </c>
      <c r="C50" s="9" t="inlineStr">
        <is>
          <t>Normalization (1NF, 2NF, 3NF)</t>
        </is>
      </c>
      <c r="D50" s="3" t="inlineStr">
        <is>
          <t>Medium</t>
        </is>
      </c>
      <c r="E50" s="3" t="inlineStr">
        <is>
          <t>Completed</t>
        </is>
      </c>
      <c r="F50" s="3" t="n"/>
      <c r="G50" s="3" t="n"/>
      <c r="H50" s="9" t="inlineStr">
        <is>
          <t>1NF: atomic values, no repeating groups. 2NF: no partial dependency on composite key. 3NF: no transitive dependency (non-key depends only on key).</t>
        </is>
      </c>
      <c r="I50" s="3" t="n"/>
    </row>
    <row r="51">
      <c r="A51" s="8" t="n">
        <v>35</v>
      </c>
      <c r="B51" s="3" t="inlineStr">
        <is>
          <t>Data Modeling Basics</t>
        </is>
      </c>
      <c r="C51" s="9" t="inlineStr">
        <is>
          <t>Denormalization trade-offs</t>
        </is>
      </c>
      <c r="D51" s="3" t="inlineStr">
        <is>
          <t>Medium</t>
        </is>
      </c>
      <c r="E51" s="3" t="inlineStr">
        <is>
          <t>Completed</t>
        </is>
      </c>
      <c r="F51" s="3" t="n"/>
      <c r="G51" s="3" t="n"/>
      <c r="H51" s="9" t="inlineStr">
        <is>
          <t>Trades storage/write complexity and redundancy for faster reads (fewer joins); typical in OLAP/warehouse gold layer for query performance.</t>
        </is>
      </c>
      <c r="I51" s="3" t="n"/>
    </row>
    <row r="52">
      <c r="A52" s="16" t="inlineStr">
        <is>
          <t>Transactions</t>
        </is>
      </c>
      <c r="B52" s="22" t="n"/>
      <c r="C52" s="22" t="n"/>
      <c r="D52" s="22" t="n"/>
      <c r="E52" s="22" t="n"/>
      <c r="F52" s="22" t="n"/>
      <c r="G52" s="22" t="n"/>
      <c r="H52" s="22" t="n"/>
      <c r="I52" s="23" t="n"/>
    </row>
    <row r="53">
      <c r="A53" s="8" t="n">
        <v>36</v>
      </c>
      <c r="B53" s="3" t="inlineStr">
        <is>
          <t>Transactions</t>
        </is>
      </c>
      <c r="C53" s="9" t="inlineStr">
        <is>
          <t>ACID properties &amp; isolation levels</t>
        </is>
      </c>
      <c r="D53" s="3" t="inlineStr">
        <is>
          <t>Medium</t>
        </is>
      </c>
      <c r="E53" s="3" t="inlineStr">
        <is>
          <t>Completed</t>
        </is>
      </c>
      <c r="F53" s="3" t="n"/>
      <c r="G53" s="3" t="n"/>
      <c r="H53" s="9" t="inlineStr">
        <is>
          <t>Atomicity, Consistency, Isolation, Durability. Isolation levels: Read Uncommitted, Read Committed, Repeatable Read, Serializable — trade-off between concurrency and read anomalies (dirty/non-repeatable/phantom reads).</t>
        </is>
      </c>
      <c r="I53" s="3" t="n"/>
    </row>
    <row r="54">
      <c r="A54" s="8" t="n">
        <v>37</v>
      </c>
      <c r="B54" s="3" t="inlineStr">
        <is>
          <t>Transactions</t>
        </is>
      </c>
      <c r="C54" s="9" t="inlineStr">
        <is>
          <t>Locking &amp; deadlocks basics</t>
        </is>
      </c>
      <c r="D54" s="3" t="inlineStr">
        <is>
          <t>Low</t>
        </is>
      </c>
      <c r="E54" s="3" t="inlineStr">
        <is>
          <t>Completed</t>
        </is>
      </c>
      <c r="F54" s="3" t="n"/>
      <c r="G54" s="3" t="n"/>
      <c r="H54" s="9" t="inlineStr">
        <is>
          <t>Locks (shared/exclusive) prevent conflicting concurrent access; deadlock = two transactions waiting on each other's locks, resolved by DB deadlock detector killing one (victim).</t>
        </is>
      </c>
      <c r="I54" s="3" t="n"/>
    </row>
    <row r="55">
      <c r="A55" s="16" t="inlineStr">
        <is>
          <t>Other Constructs</t>
        </is>
      </c>
      <c r="B55" s="22" t="n"/>
      <c r="C55" s="22" t="n"/>
      <c r="D55" s="22" t="n"/>
      <c r="E55" s="22" t="n"/>
      <c r="F55" s="22" t="n"/>
      <c r="G55" s="22" t="n"/>
      <c r="H55" s="22" t="n"/>
      <c r="I55" s="23" t="n"/>
    </row>
    <row r="56">
      <c r="A56" s="8" t="n">
        <v>38</v>
      </c>
      <c r="B56" s="3" t="inlineStr">
        <is>
          <t>Other Constructs</t>
        </is>
      </c>
      <c r="C56" s="9" t="inlineStr">
        <is>
          <t>Views, Stored Procedures, Triggers (basics)</t>
        </is>
      </c>
      <c r="D56" s="3" t="inlineStr">
        <is>
          <t>Low</t>
        </is>
      </c>
      <c r="E56" s="3" t="inlineStr">
        <is>
          <t>Completed</t>
        </is>
      </c>
      <c r="F56" s="3" t="n"/>
      <c r="G56" s="3" t="n"/>
      <c r="H56" s="9" t="inlineStr">
        <is>
          <t>View: saved virtual query (no storage). Stored procedure: precompiled reusable logic with parameters. Trigger: auto-fires on INSERT/UPDATE/DELETE, useful for audit but adds hidden logic/performance risk.</t>
        </is>
      </c>
      <c r="I56" s="3" t="n"/>
    </row>
    <row r="57">
      <c r="A57" s="8" t="n">
        <v>39</v>
      </c>
      <c r="B57" s="3" t="inlineStr">
        <is>
          <t>Other Constructs</t>
        </is>
      </c>
      <c r="C57" s="9" t="inlineStr">
        <is>
          <t>PIVOT / UNPIVOT</t>
        </is>
      </c>
      <c r="D57" s="3" t="inlineStr">
        <is>
          <t>Low</t>
        </is>
      </c>
      <c r="E57" s="3" t="inlineStr">
        <is>
          <t>Completed</t>
        </is>
      </c>
      <c r="F57" s="3" t="n"/>
      <c r="G57" s="3" t="n"/>
      <c r="H57" s="9" t="inlineStr">
        <is>
          <t>PIVOT: rows to columns (e.g. monthly sales as columns). UNPIVOT: columns back to rows. Alternative: conditional aggregation (SUM(CASE WHEN...)).</t>
        </is>
      </c>
      <c r="I57" s="3" t="n"/>
    </row>
    <row r="58">
      <c r="A58" s="8" t="n">
        <v>40</v>
      </c>
      <c r="B58" s="3" t="inlineStr">
        <is>
          <t>Other Constructs</t>
        </is>
      </c>
      <c r="C58" s="9" t="inlineStr">
        <is>
          <t>Common string &amp; date functions</t>
        </is>
      </c>
      <c r="D58" s="3" t="inlineStr">
        <is>
          <t>Low</t>
        </is>
      </c>
      <c r="E58" s="3" t="inlineStr">
        <is>
          <t>Completed</t>
        </is>
      </c>
      <c r="F58" s="3" t="n"/>
      <c r="G58" s="3" t="n"/>
      <c r="H58" s="9" t="inlineStr">
        <is>
          <t>String: SUBSTRING, CONCAT, TRIM, REPLACE, CHARINDEX. Date: DATEADD/DATEDIFF, DATE_TRUNC, EXTRACT, CAST to date — syntax varies by DB engine.</t>
        </is>
      </c>
      <c r="I58" s="3" t="n"/>
    </row>
    <row r="59">
      <c r="A59" s="16" t="inlineStr">
        <is>
          <t>Daily Practice</t>
        </is>
      </c>
      <c r="B59" s="22" t="n"/>
      <c r="C59" s="22" t="n"/>
      <c r="D59" s="22" t="n"/>
      <c r="E59" s="22" t="n"/>
      <c r="F59" s="22" t="n"/>
      <c r="G59" s="22" t="n"/>
      <c r="H59" s="22" t="n"/>
      <c r="I59" s="23" t="n"/>
    </row>
    <row r="60" ht="23.85" customHeight="1">
      <c r="A60" s="8" t="n">
        <v>41</v>
      </c>
      <c r="B60" s="3" t="inlineStr">
        <is>
          <t>Daily Practice</t>
        </is>
      </c>
      <c r="C60" s="9" t="inlineStr">
        <is>
          <t>Solve 5-10 SQL queries daily (track in Daily SQL Log tab)</t>
        </is>
      </c>
      <c r="D60" s="3" t="inlineStr">
        <is>
          <t>High</t>
        </is>
      </c>
      <c r="E60" s="3" t="inlineStr">
        <is>
          <t>In Progress</t>
        </is>
      </c>
      <c r="F60" s="3" t="n"/>
      <c r="G60" s="3" t="n"/>
      <c r="H60" s="9" t="inlineStr">
        <is>
          <t>Ongoing habit-building task — log daily practice in the 'Daily SQL Practice Log' tab.</t>
        </is>
      </c>
      <c r="I60" s="3" t="n"/>
    </row>
    <row r="61"/>
    <row r="62" ht="30" customHeight="1">
      <c r="A62" s="17" t="inlineStr">
        <is>
          <t>EXAMPLE (for reference only — edit/delete before use): Topic Area: Window Functions | Subtopic: LEAD, LAG | Priority: High | Status: In Progress | Notes: Practiced on Leetcode + StrataScratch, comfortable with basic LEAD/LAG, need to revisit multi-partition cases.</t>
        </is>
      </c>
    </row>
  </sheetData>
  <mergeCells count="18">
    <mergeCell ref="A52:I52"/>
    <mergeCell ref="A59:I59"/>
    <mergeCell ref="A2:I2"/>
    <mergeCell ref="A49:I49"/>
    <mergeCell ref="A10:I10"/>
    <mergeCell ref="A5:I5"/>
    <mergeCell ref="A42:I42"/>
    <mergeCell ref="A32:I32"/>
    <mergeCell ref="A46:I46"/>
    <mergeCell ref="A14:I14"/>
    <mergeCell ref="A21:I21"/>
    <mergeCell ref="A1:I1"/>
    <mergeCell ref="A40:I40"/>
    <mergeCell ref="A27:I27"/>
    <mergeCell ref="A55:I55"/>
    <mergeCell ref="A35:I35"/>
    <mergeCell ref="A62:I62"/>
    <mergeCell ref="A38:I38"/>
  </mergeCells>
  <conditionalFormatting sqref="E5:E60">
    <cfRule type="expression" priority="2" dxfId="0">
      <formula>$E5="Not Started"</formula>
    </cfRule>
    <cfRule type="expression" priority="3" dxfId="4">
      <formula>$E5="In Progress"</formula>
    </cfRule>
    <cfRule type="expression" priority="4" dxfId="1">
      <formula>$E5="Completed"</formula>
    </cfRule>
    <cfRule type="expression" priority="5" dxfId="2">
      <formula>$E5="Revise Again"</formula>
    </cfRule>
    <cfRule type="cellIs" priority="6" operator="equal" dxfId="0">
      <formula>"Not Started"</formula>
    </cfRule>
    <cfRule type="cellIs" priority="7" operator="equal" dxfId="4">
      <formula>"In Progress"</formula>
    </cfRule>
    <cfRule type="cellIs" priority="8" operator="equal" dxfId="1">
      <formula>"Completed"</formula>
    </cfRule>
    <cfRule type="cellIs" priority="9" operator="equal" dxfId="2">
      <formula>"Revise Again"</formula>
    </cfRule>
  </conditionalFormatting>
  <dataValidations count="2">
    <dataValidation sqref="E5:E60" showDropDown="0" showInputMessage="0" showErrorMessage="0" allowBlank="1" error="Choose a value from the list" prompt="Select status" type="list">
      <formula1>"Not Started,In Progress,Completed,Revise Again"</formula1>
      <formula2>0</formula2>
    </dataValidation>
    <dataValidation sqref="D5:D60" showDropDown="0" showInputMessage="0" showErrorMessage="0" allowBlank="1" type="list">
      <formula1>"High,Medium,Low"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zoomScaleNormal="100" workbookViewId="0">
      <pane ySplit="4" topLeftCell="A5" activePane="bottomLeft" state="frozen"/>
      <selection pane="bottomLeft" activeCell="D3" sqref="D3"/>
    </sheetView>
  </sheetViews>
  <sheetFormatPr baseColWidth="8" defaultColWidth="8.7109375" defaultRowHeight="15"/>
  <cols>
    <col width="5" customWidth="1" min="1" max="1"/>
    <col width="22" customWidth="1" min="2" max="2"/>
    <col width="40" customWidth="1" min="3" max="3"/>
    <col width="15.42578125" customWidth="1" min="4" max="4"/>
    <col width="14" customWidth="1" min="5" max="5"/>
    <col width="13" customWidth="1" min="6" max="6"/>
    <col width="15" customWidth="1" min="7" max="7"/>
    <col width="40" customWidth="1" min="8" max="8"/>
    <col width="22" customWidth="1" min="9" max="9"/>
  </cols>
  <sheetData>
    <row r="1" ht="25.5" customHeight="1">
      <c r="A1" s="18" t="inlineStr">
        <is>
          <t>Data Warehouse</t>
        </is>
      </c>
    </row>
    <row r="2" ht="18" customHeight="1">
      <c r="A2" s="20" t="inlineStr">
        <is>
          <t>Fact/Dim, Star &amp; Snowflake Schema, Keys, OLAP vs OLTP, ETL/ELT concepts</t>
        </is>
      </c>
    </row>
    <row r="3">
      <c r="B3" t="inlineStr">
        <is>
          <t>BigQuery</t>
        </is>
      </c>
      <c r="C3" t="inlineStr">
        <is>
          <t>Snowflake</t>
        </is>
      </c>
      <c r="D3" t="inlineStr">
        <is>
          <t>Azure - Synapse</t>
        </is>
      </c>
    </row>
    <row r="4" ht="19.5" customHeight="1">
      <c r="A4" s="1" t="inlineStr">
        <is>
          <t>#</t>
        </is>
      </c>
      <c r="B4" s="1" t="inlineStr">
        <is>
          <t>Topic Area</t>
        </is>
      </c>
      <c r="C4" s="1" t="inlineStr">
        <is>
          <t>Subtopic / Concept</t>
        </is>
      </c>
      <c r="D4" s="1" t="inlineStr">
        <is>
          <t>Priority</t>
        </is>
      </c>
      <c r="E4" s="1" t="inlineStr">
        <is>
          <t>Status</t>
        </is>
      </c>
      <c r="F4" s="1" t="inlineStr">
        <is>
          <t>Date Started</t>
        </is>
      </c>
      <c r="G4" s="1" t="inlineStr">
        <is>
          <t>Date Completed</t>
        </is>
      </c>
      <c r="H4" s="1" t="inlineStr">
        <is>
          <t>Notes / Key Learnings</t>
        </is>
      </c>
      <c r="I4" s="1" t="inlineStr">
        <is>
          <t>Resource / Link</t>
        </is>
      </c>
    </row>
    <row r="5">
      <c r="A5" s="16" t="inlineStr">
        <is>
          <t>Fact &amp; Dimension Tables</t>
        </is>
      </c>
      <c r="B5" s="22" t="n"/>
      <c r="C5" s="22" t="n"/>
      <c r="D5" s="22" t="n"/>
      <c r="E5" s="22" t="n"/>
      <c r="F5" s="22" t="n"/>
      <c r="G5" s="22" t="n"/>
      <c r="H5" s="22" t="n"/>
      <c r="I5" s="23" t="n"/>
    </row>
    <row r="6">
      <c r="A6" s="8" t="n">
        <v>1</v>
      </c>
      <c r="B6" s="3" t="inlineStr">
        <is>
          <t>Fact &amp; Dimension Tables</t>
        </is>
      </c>
      <c r="C6" s="9" t="inlineStr">
        <is>
          <t>Fact table concepts (grain, measures)</t>
        </is>
      </c>
      <c r="D6" s="3" t="inlineStr">
        <is>
          <t>High</t>
        </is>
      </c>
      <c r="E6" s="3" t="inlineStr">
        <is>
          <t>Completed</t>
        </is>
      </c>
      <c r="F6" s="3" t="n"/>
      <c r="G6" s="3" t="n"/>
      <c r="H6" s="9" t="inlineStr">
        <is>
          <t>Grain = level of detail one row represents (e.g. one row per order line); measures are the numeric, additive facts (qty, amount).</t>
        </is>
      </c>
      <c r="I6" s="3" t="n"/>
    </row>
    <row r="7" ht="23.85" customHeight="1">
      <c r="A7" s="8" t="n">
        <v>2</v>
      </c>
      <c r="B7" s="3" t="inlineStr">
        <is>
          <t>Fact &amp; Dimension Tables</t>
        </is>
      </c>
      <c r="C7" s="9" t="inlineStr">
        <is>
          <t>Dimension table concepts (attributes, hierarchies)</t>
        </is>
      </c>
      <c r="D7" s="3" t="inlineStr">
        <is>
          <t>High</t>
        </is>
      </c>
      <c r="E7" s="3" t="inlineStr">
        <is>
          <t>Completed</t>
        </is>
      </c>
      <c r="F7" s="3" t="n"/>
      <c r="G7" s="3" t="n"/>
      <c r="H7" s="9" t="inlineStr">
        <is>
          <t>Descriptive context for facts (who/what/where/when); hierarchies (e.g. Day&gt;Month&gt;Quarter&gt;Year) enable drill-down/roll-up.</t>
        </is>
      </c>
      <c r="I7" s="3" t="n"/>
    </row>
    <row r="8" ht="23.85" customHeight="1">
      <c r="A8" s="8" t="n">
        <v>3</v>
      </c>
      <c r="B8" s="3" t="inlineStr">
        <is>
          <t>Fact &amp; Dimension Tables</t>
        </is>
      </c>
      <c r="C8" s="9" t="inlineStr">
        <is>
          <t>Types of fact tables (transactional, snapshot, accumulating)</t>
        </is>
      </c>
      <c r="D8" s="3" t="inlineStr">
        <is>
          <t>Medium</t>
        </is>
      </c>
      <c r="E8" s="3" t="inlineStr">
        <is>
          <t>Completed</t>
        </is>
      </c>
      <c r="F8" s="3" t="n"/>
      <c r="G8" s="3" t="n"/>
      <c r="H8" s="9" t="inlineStr">
        <is>
          <t>Transactional: one row per event. Periodic snapshot: state at fixed intervals (e.g. daily balances). Accumulating snapshot: one row per process instance, updated as it progresses through milestones.</t>
        </is>
      </c>
      <c r="I8" s="3" t="n"/>
    </row>
    <row r="9">
      <c r="A9" s="16" t="inlineStr">
        <is>
          <t>Schema Design</t>
        </is>
      </c>
      <c r="B9" s="22" t="n"/>
      <c r="C9" s="22" t="n"/>
      <c r="D9" s="22" t="n"/>
      <c r="E9" s="22" t="n"/>
      <c r="F9" s="22" t="n"/>
      <c r="G9" s="22" t="n"/>
      <c r="H9" s="22" t="n"/>
      <c r="I9" s="23" t="n"/>
    </row>
    <row r="10">
      <c r="A10" s="8" t="n">
        <v>4</v>
      </c>
      <c r="B10" s="3" t="inlineStr">
        <is>
          <t>Schema Design</t>
        </is>
      </c>
      <c r="C10" s="9" t="inlineStr">
        <is>
          <t>Star Schema</t>
        </is>
      </c>
      <c r="D10" s="3" t="inlineStr">
        <is>
          <t>High</t>
        </is>
      </c>
      <c r="E10" s="3" t="inlineStr">
        <is>
          <t>Completed</t>
        </is>
      </c>
      <c r="F10" s="3" t="n"/>
      <c r="G10" s="3" t="n"/>
      <c r="H10" s="9" t="inlineStr">
        <is>
          <t>Central fact table directly joined to denormalized dimension tables; simple, fast for BI queries, some redundancy in dims.</t>
        </is>
      </c>
      <c r="I10" s="3" t="n"/>
    </row>
    <row r="11">
      <c r="A11" s="8" t="n">
        <v>5</v>
      </c>
      <c r="B11" s="3" t="inlineStr">
        <is>
          <t>Schema Design</t>
        </is>
      </c>
      <c r="C11" s="9" t="inlineStr">
        <is>
          <t>Snowflake Schema</t>
        </is>
      </c>
      <c r="D11" s="3" t="inlineStr">
        <is>
          <t>Medium</t>
        </is>
      </c>
      <c r="E11" s="3" t="inlineStr">
        <is>
          <t>Completed</t>
        </is>
      </c>
      <c r="F11" s="3" t="n"/>
      <c r="G11" s="3" t="n"/>
      <c r="H11" s="9" t="inlineStr">
        <is>
          <t>Dimensions normalized into sub-dimensions (e.g. Product-&gt;Category-&gt;Department); saves space, more joins, slightly slower queries.</t>
        </is>
      </c>
      <c r="I11" s="3" t="n"/>
    </row>
    <row r="12">
      <c r="A12" s="8" t="n">
        <v>6</v>
      </c>
      <c r="B12" s="3" t="inlineStr">
        <is>
          <t>Schema Design</t>
        </is>
      </c>
      <c r="C12" s="9" t="inlineStr">
        <is>
          <t>Star vs Snowflake trade-offs</t>
        </is>
      </c>
      <c r="D12" s="3" t="inlineStr">
        <is>
          <t>Medium</t>
        </is>
      </c>
      <c r="E12" s="3" t="inlineStr">
        <is>
          <t>Completed</t>
        </is>
      </c>
      <c r="F12" s="3" t="n"/>
      <c r="G12" s="3" t="n"/>
      <c r="H12" s="9" t="inlineStr">
        <is>
          <t>Star: query simplicity/performance. Snowflake: storage efficiency/data integrity. Most modern warehouses (columnar, cheap storage) favor star schema.</t>
        </is>
      </c>
      <c r="I12" s="3" t="n"/>
    </row>
    <row r="13">
      <c r="A13" s="16" t="inlineStr">
        <is>
          <t>Keys</t>
        </is>
      </c>
      <c r="B13" s="22" t="n"/>
      <c r="C13" s="22" t="n"/>
      <c r="D13" s="22" t="n"/>
      <c r="E13" s="22" t="n"/>
      <c r="F13" s="22" t="n"/>
      <c r="G13" s="22" t="n"/>
      <c r="H13" s="22" t="n"/>
      <c r="I13" s="23" t="n"/>
    </row>
    <row r="14">
      <c r="A14" s="8" t="n">
        <v>7</v>
      </c>
      <c r="B14" s="3" t="inlineStr">
        <is>
          <t>Keys</t>
        </is>
      </c>
      <c r="C14" s="9" t="inlineStr">
        <is>
          <t>Primary Key</t>
        </is>
      </c>
      <c r="D14" s="3" t="inlineStr">
        <is>
          <t>Low</t>
        </is>
      </c>
      <c r="E14" s="3" t="inlineStr">
        <is>
          <t>Completed</t>
        </is>
      </c>
      <c r="F14" s="3" t="n"/>
      <c r="G14" s="3" t="n"/>
      <c r="H14" s="9" t="inlineStr">
        <is>
          <t>Uniquely identifies each row; not null, one per table (can be composite).</t>
        </is>
      </c>
      <c r="I14" s="3" t="n"/>
    </row>
    <row r="15">
      <c r="A15" s="8" t="n">
        <v>8</v>
      </c>
      <c r="B15" s="3" t="inlineStr">
        <is>
          <t>Keys</t>
        </is>
      </c>
      <c r="C15" s="9" t="inlineStr">
        <is>
          <t>Foreign Key</t>
        </is>
      </c>
      <c r="D15" s="3" t="inlineStr">
        <is>
          <t>Low</t>
        </is>
      </c>
      <c r="E15" s="3" t="inlineStr">
        <is>
          <t>Completed</t>
        </is>
      </c>
      <c r="F15" s="3" t="n"/>
      <c r="G15" s="3" t="n"/>
      <c r="H15" s="9" t="inlineStr">
        <is>
          <t>Column(s) referencing a PK in another table, enforcing referential integrity between fact and dimension.</t>
        </is>
      </c>
      <c r="I15" s="3" t="n"/>
    </row>
    <row r="16">
      <c r="A16" s="8" t="n">
        <v>9</v>
      </c>
      <c r="B16" s="3" t="inlineStr">
        <is>
          <t>Keys</t>
        </is>
      </c>
      <c r="C16" s="9" t="inlineStr">
        <is>
          <t>Surrogate Key vs Natural Key</t>
        </is>
      </c>
      <c r="D16" s="3" t="inlineStr">
        <is>
          <t>High</t>
        </is>
      </c>
      <c r="E16" s="3" t="inlineStr">
        <is>
          <t>Completed</t>
        </is>
      </c>
      <c r="F16" s="3" t="n"/>
      <c r="G16" s="3" t="n"/>
      <c r="H16" s="9" t="inlineStr">
        <is>
          <t>Surrogate key: system-generated (e.g. identity/int), stable, used in warehouse to support SCD2/history. Natural key: business meaningful key from source, can change or be reused.</t>
        </is>
      </c>
      <c r="I16" s="3" t="n"/>
    </row>
    <row r="17">
      <c r="A17" s="8" t="n">
        <v>10</v>
      </c>
      <c r="B17" s="3" t="inlineStr">
        <is>
          <t>Keys</t>
        </is>
      </c>
      <c r="C17" s="9" t="inlineStr">
        <is>
          <t>Composite Key</t>
        </is>
      </c>
      <c r="D17" s="3" t="inlineStr">
        <is>
          <t>Low</t>
        </is>
      </c>
      <c r="E17" s="3" t="inlineStr">
        <is>
          <t>Completed</t>
        </is>
      </c>
      <c r="F17" s="3" t="n"/>
      <c r="G17" s="3" t="n"/>
      <c r="H17" s="9" t="inlineStr">
        <is>
          <t>Primary key made of multiple columns together uniquely identifying a row (common in junction/bridge tables).</t>
        </is>
      </c>
      <c r="I17" s="3" t="n"/>
    </row>
    <row r="18">
      <c r="A18" s="16" t="inlineStr">
        <is>
          <t>OLAP vs OLTP</t>
        </is>
      </c>
      <c r="B18" s="22" t="n"/>
      <c r="C18" s="22" t="n"/>
      <c r="D18" s="22" t="n"/>
      <c r="E18" s="22" t="n"/>
      <c r="F18" s="22" t="n"/>
      <c r="G18" s="22" t="n"/>
      <c r="H18" s="22" t="n"/>
      <c r="I18" s="23" t="n"/>
    </row>
    <row r="19">
      <c r="A19" s="8" t="n">
        <v>11</v>
      </c>
      <c r="B19" s="3" t="inlineStr">
        <is>
          <t>OLAP vs OLTP</t>
        </is>
      </c>
      <c r="C19" s="9" t="inlineStr">
        <is>
          <t>OLTP characteristics</t>
        </is>
      </c>
      <c r="D19" s="3" t="inlineStr">
        <is>
          <t>Medium</t>
        </is>
      </c>
      <c r="E19" s="3" t="inlineStr">
        <is>
          <t>Completed</t>
        </is>
      </c>
      <c r="F19" s="3" t="n"/>
      <c r="G19" s="3" t="n"/>
      <c r="H19" s="9" t="inlineStr">
        <is>
          <t>Normalized schema, many small fast read/write transactions, optimized for consistency (e.g. order processing systems).</t>
        </is>
      </c>
      <c r="I19" s="3" t="n"/>
    </row>
    <row r="20">
      <c r="A20" s="8" t="n">
        <v>12</v>
      </c>
      <c r="B20" s="3" t="inlineStr">
        <is>
          <t>OLAP vs OLTP</t>
        </is>
      </c>
      <c r="C20" s="9" t="inlineStr">
        <is>
          <t>OLAP characteristics</t>
        </is>
      </c>
      <c r="D20" s="3" t="inlineStr">
        <is>
          <t>Medium</t>
        </is>
      </c>
      <c r="E20" s="3" t="inlineStr">
        <is>
          <t>Completed</t>
        </is>
      </c>
      <c r="F20" s="3" t="n"/>
      <c r="G20" s="3" t="n"/>
      <c r="H20" s="9" t="inlineStr">
        <is>
          <t>Denormalized/dimensional schema, optimized for large read-heavy analytical aggregation queries over historical data.</t>
        </is>
      </c>
      <c r="I20" s="3" t="n"/>
    </row>
    <row r="21">
      <c r="A21" s="8" t="n">
        <v>13</v>
      </c>
      <c r="B21" s="3" t="inlineStr">
        <is>
          <t>OLAP vs OLTP</t>
        </is>
      </c>
      <c r="C21" s="9" t="inlineStr">
        <is>
          <t>Use case differences</t>
        </is>
      </c>
      <c r="D21" s="3" t="inlineStr">
        <is>
          <t>Low</t>
        </is>
      </c>
      <c r="E21" s="3" t="inlineStr">
        <is>
          <t>Completed</t>
        </is>
      </c>
      <c r="F21" s="3" t="n"/>
      <c r="G21" s="3" t="n"/>
      <c r="H21" s="9" t="inlineStr">
        <is>
          <t>OLTP = operational day-to-day systems; OLAP = reporting/analytics/BI on top of aggregated historical data.</t>
        </is>
      </c>
      <c r="I21" s="3" t="n"/>
    </row>
    <row r="22">
      <c r="A22" s="16" t="inlineStr">
        <is>
          <t>ETL Concepts</t>
        </is>
      </c>
      <c r="B22" s="22" t="n"/>
      <c r="C22" s="22" t="n"/>
      <c r="D22" s="22" t="n"/>
      <c r="E22" s="22" t="n"/>
      <c r="F22" s="22" t="n"/>
      <c r="G22" s="22" t="n"/>
      <c r="H22" s="22" t="n"/>
      <c r="I22" s="23" t="n"/>
    </row>
    <row r="23">
      <c r="A23" s="8" t="n">
        <v>14</v>
      </c>
      <c r="B23" s="3" t="inlineStr">
        <is>
          <t>ETL Concepts</t>
        </is>
      </c>
      <c r="C23" s="9" t="inlineStr">
        <is>
          <t>ETL vs ELT</t>
        </is>
      </c>
      <c r="D23" s="3" t="inlineStr">
        <is>
          <t>High</t>
        </is>
      </c>
      <c r="E23" s="3" t="inlineStr">
        <is>
          <t>Completed</t>
        </is>
      </c>
      <c r="F23" s="3" t="n"/>
      <c r="G23" s="3" t="n"/>
      <c r="H23" s="9" t="inlineStr">
        <is>
          <t>ETL: transform before loading into target (transform in staging/engine). ELT: load raw first, transform inside the warehouse/lake (leverages scalable compute like Spark/Snowflake) — dominant pattern in modern cloud stacks.</t>
        </is>
      </c>
      <c r="I23" s="3" t="n"/>
    </row>
    <row r="24">
      <c r="A24" s="8" t="n">
        <v>15</v>
      </c>
      <c r="B24" s="3" t="inlineStr">
        <is>
          <t>ETL Concepts</t>
        </is>
      </c>
      <c r="C24" s="9" t="inlineStr">
        <is>
          <t>Full Load</t>
        </is>
      </c>
      <c r="D24" s="3" t="inlineStr">
        <is>
          <t>Low</t>
        </is>
      </c>
      <c r="E24" s="3" t="inlineStr">
        <is>
          <t>Completed</t>
        </is>
      </c>
      <c r="F24" s="3" t="n"/>
      <c r="G24" s="3" t="n"/>
      <c r="H24" s="9" t="inlineStr">
        <is>
          <t>Reload entire dataset each run; simple but expensive for large tables, used for small/reference data or first load.</t>
        </is>
      </c>
      <c r="I24" s="3" t="n"/>
    </row>
    <row r="25">
      <c r="A25" s="8" t="n">
        <v>16</v>
      </c>
      <c r="B25" s="3" t="inlineStr">
        <is>
          <t>ETL Concepts</t>
        </is>
      </c>
      <c r="C25" s="9" t="inlineStr">
        <is>
          <t>Incremental Load</t>
        </is>
      </c>
      <c r="D25" s="3" t="inlineStr">
        <is>
          <t>High</t>
        </is>
      </c>
      <c r="E25" s="3" t="inlineStr">
        <is>
          <t>Completed</t>
        </is>
      </c>
      <c r="F25" s="3" t="n"/>
      <c r="G25" s="3" t="n"/>
      <c r="H25" s="9" t="inlineStr">
        <is>
          <t>Load only new/changed records since last run, using watermark column (updated_at) or CDC; reduces processing time and cost.</t>
        </is>
      </c>
      <c r="I25" s="3" t="n"/>
    </row>
    <row r="26">
      <c r="A26" s="8" t="n">
        <v>17</v>
      </c>
      <c r="B26" s="3" t="inlineStr">
        <is>
          <t>ETL Concepts</t>
        </is>
      </c>
      <c r="C26" s="9" t="inlineStr">
        <is>
          <t>Batch Processing mode</t>
        </is>
      </c>
      <c r="D26" s="3" t="inlineStr">
        <is>
          <t>Low</t>
        </is>
      </c>
      <c r="E26" s="3" t="inlineStr">
        <is>
          <t>Completed</t>
        </is>
      </c>
      <c r="F26" s="3" t="n"/>
      <c r="G26" s="3" t="n"/>
      <c r="H26" s="9" t="inlineStr">
        <is>
          <t>Data processed in scheduled chunks/intervals (hourly/daily) rather than continuously.</t>
        </is>
      </c>
      <c r="I26" s="3" t="n"/>
    </row>
    <row r="27">
      <c r="A27" s="8" t="n">
        <v>18</v>
      </c>
      <c r="B27" s="3" t="inlineStr">
        <is>
          <t>ETL Concepts</t>
        </is>
      </c>
      <c r="C27" s="9" t="inlineStr">
        <is>
          <t>Streaming mode</t>
        </is>
      </c>
      <c r="D27" s="3" t="inlineStr">
        <is>
          <t>Medium</t>
        </is>
      </c>
      <c r="E27" s="3" t="inlineStr">
        <is>
          <t>Completed</t>
        </is>
      </c>
      <c r="F27" s="3" t="n"/>
      <c r="G27" s="3" t="n"/>
      <c r="H27" s="9" t="inlineStr">
        <is>
          <t>Data processed continuously/near real-time as it arrives (e.g. Spark Structured Streaming, Kafka).</t>
        </is>
      </c>
      <c r="I27" s="3" t="n"/>
    </row>
    <row r="28">
      <c r="A28" s="16" t="inlineStr">
        <is>
          <t>Modeling Approaches</t>
        </is>
      </c>
      <c r="B28" s="22" t="n"/>
      <c r="C28" s="22" t="n"/>
      <c r="D28" s="22" t="n"/>
      <c r="E28" s="22" t="n"/>
      <c r="F28" s="22" t="n"/>
      <c r="G28" s="22" t="n"/>
      <c r="H28" s="22" t="n"/>
      <c r="I28" s="23" t="n"/>
    </row>
    <row r="29" customFormat="1" s="15">
      <c r="A29" s="12" t="n">
        <v>19</v>
      </c>
      <c r="B29" s="13" t="inlineStr">
        <is>
          <t>Modeling Approaches</t>
        </is>
      </c>
      <c r="C29" s="14" t="inlineStr">
        <is>
          <t>Kimball (bottom-up) vs Inmon (top-down)</t>
        </is>
      </c>
      <c r="D29" s="13" t="inlineStr">
        <is>
          <t>Medium</t>
        </is>
      </c>
      <c r="E29" s="13" t="inlineStr">
        <is>
          <t>Completed</t>
        </is>
      </c>
      <c r="F29" s="13" t="n"/>
      <c r="G29" s="13" t="n"/>
      <c r="H29" s="14" t="inlineStr">
        <is>
          <t>Kimball: build dimensional data marts first, bottom-up, faster time to value, conformed dimensions link marts. Inmon: build normalized enterprise DW first (3NF), then derive marts, top-down, more consistency but slower.</t>
        </is>
      </c>
      <c r="I29" s="13" t="n"/>
    </row>
    <row r="30" customFormat="1" s="15">
      <c r="A30" s="12" t="n">
        <v>20</v>
      </c>
      <c r="B30" s="13" t="inlineStr">
        <is>
          <t>Modeling Approaches</t>
        </is>
      </c>
      <c r="C30" s="14" t="inlineStr">
        <is>
          <t>Conceptual, Logical, Physical data models</t>
        </is>
      </c>
      <c r="D30" s="13" t="inlineStr">
        <is>
          <t>Low</t>
        </is>
      </c>
      <c r="E30" s="13" t="inlineStr">
        <is>
          <t>Completed</t>
        </is>
      </c>
      <c r="F30" s="13" t="n"/>
      <c r="G30" s="13" t="n"/>
      <c r="H30" s="14" t="inlineStr">
        <is>
          <t>Conceptual: high-level business entities/relationships. Logical: attributes, keys, normalization, DB-agnostic. Physical: actual tables/columns/types/indexes for a specific engine.</t>
        </is>
      </c>
      <c r="I30" s="13" t="n"/>
    </row>
    <row r="31" customFormat="1" s="15">
      <c r="A31" s="12" t="n">
        <v>21</v>
      </c>
      <c r="B31" s="13" t="inlineStr">
        <is>
          <t>Modeling Approaches</t>
        </is>
      </c>
      <c r="C31" s="14" t="inlineStr">
        <is>
          <t>Data Mart vs Data Warehouse</t>
        </is>
      </c>
      <c r="D31" s="13" t="inlineStr">
        <is>
          <t>Low</t>
        </is>
      </c>
      <c r="E31" s="13" t="inlineStr">
        <is>
          <t>Completed</t>
        </is>
      </c>
      <c r="F31" s="13" t="n"/>
      <c r="G31" s="13" t="n"/>
      <c r="H31" s="14" t="inlineStr">
        <is>
          <t>Data warehouse: enterprise-wide integrated store. Data mart: subject/department-specific subset (e.g. Sales mart), often sourced from the warehouse.</t>
        </is>
      </c>
      <c r="I31" s="13" t="n"/>
    </row>
    <row r="32">
      <c r="A32" s="16" t="inlineStr">
        <is>
          <t>Advanced Dimension Concepts</t>
        </is>
      </c>
      <c r="B32" s="22" t="n"/>
      <c r="C32" s="22" t="n"/>
      <c r="D32" s="22" t="n"/>
      <c r="E32" s="22" t="n"/>
      <c r="F32" s="22" t="n"/>
      <c r="G32" s="22" t="n"/>
      <c r="H32" s="22" t="n"/>
      <c r="I32" s="23" t="n"/>
    </row>
    <row r="33" customFormat="1" s="15">
      <c r="A33" s="12" t="n">
        <v>22</v>
      </c>
      <c r="B33" s="13" t="inlineStr">
        <is>
          <t>Advanced Dimension Concepts</t>
        </is>
      </c>
      <c r="C33" s="14" t="inlineStr">
        <is>
          <t>Conformed Dimension</t>
        </is>
      </c>
      <c r="D33" s="13" t="inlineStr">
        <is>
          <t>Medium</t>
        </is>
      </c>
      <c r="E33" s="13" t="inlineStr">
        <is>
          <t>Completed</t>
        </is>
      </c>
      <c r="F33" s="13" t="n"/>
      <c r="G33" s="13" t="n"/>
      <c r="H33" s="14" t="inlineStr">
        <is>
          <t>Shared dimension (e.g. Date, Customer) used consistently across multiple fact tables/marts, enabling cross-subject-area analysis.</t>
        </is>
      </c>
      <c r="I33" s="13" t="n"/>
    </row>
    <row r="34" customFormat="1" s="15">
      <c r="A34" s="12" t="n">
        <v>23</v>
      </c>
      <c r="B34" s="13" t="inlineStr">
        <is>
          <t>Advanced Dimension Concepts</t>
        </is>
      </c>
      <c r="C34" s="14" t="inlineStr">
        <is>
          <t>Junk Dimension</t>
        </is>
      </c>
      <c r="D34" s="13" t="inlineStr">
        <is>
          <t>Medium</t>
        </is>
      </c>
      <c r="E34" s="13" t="inlineStr">
        <is>
          <t>Completed</t>
        </is>
      </c>
      <c r="F34" s="13" t="n"/>
      <c r="G34" s="13" t="n"/>
      <c r="H34" s="14" t="inlineStr">
        <is>
          <t>Combines several low-cardinality flags/indicators (e.g. yes/no fields) into a single dimension table to avoid many tiny dims in the fact table.</t>
        </is>
      </c>
      <c r="I34" s="13" t="n"/>
    </row>
    <row r="35" customFormat="1" s="15">
      <c r="A35" s="12" t="n">
        <v>24</v>
      </c>
      <c r="B35" s="13" t="inlineStr">
        <is>
          <t>Advanced Dimension Concepts</t>
        </is>
      </c>
      <c r="C35" s="14" t="inlineStr">
        <is>
          <t>Degenerate Dimension</t>
        </is>
      </c>
      <c r="D35" s="13" t="inlineStr">
        <is>
          <t>Medium</t>
        </is>
      </c>
      <c r="E35" s="13" t="inlineStr">
        <is>
          <t>Completed</t>
        </is>
      </c>
      <c r="F35" s="13" t="n"/>
      <c r="G35" s="13" t="n"/>
      <c r="H35" s="14" t="inlineStr">
        <is>
          <t>Dimension-like attribute stored directly in the fact table with no separate dimension table (e.g. invoice/order number).</t>
        </is>
      </c>
      <c r="I35" s="13" t="n"/>
    </row>
    <row r="36" customFormat="1" s="15">
      <c r="A36" s="12" t="n">
        <v>25</v>
      </c>
      <c r="B36" s="13" t="inlineStr">
        <is>
          <t>Advanced Dimension Concepts</t>
        </is>
      </c>
      <c r="C36" s="14" t="inlineStr">
        <is>
          <t>Slowly Changing Dimension Type 3, 4, 6 (hybrid)</t>
        </is>
      </c>
      <c r="D36" s="13" t="inlineStr">
        <is>
          <t>Medium</t>
        </is>
      </c>
      <c r="E36" s="13" t="inlineStr">
        <is>
          <t>Completed</t>
        </is>
      </c>
      <c r="F36" s="13" t="n"/>
      <c r="G36" s="13" t="n"/>
      <c r="H36" s="14" t="inlineStr">
        <is>
          <t>Type3: extra 'previous value' column (limited history). Type4: separate history table + current table. Type6 (hybrid 1+2+3): combines overwrite, new-row history, and previous-value column.</t>
        </is>
      </c>
      <c r="I36" s="13" t="n"/>
    </row>
    <row r="37">
      <c r="A37" s="16" t="inlineStr">
        <is>
          <t>Advanced Fact Concepts</t>
        </is>
      </c>
      <c r="B37" s="22" t="n"/>
      <c r="C37" s="22" t="n"/>
      <c r="D37" s="22" t="n"/>
      <c r="E37" s="22" t="n"/>
      <c r="F37" s="22" t="n"/>
      <c r="G37" s="22" t="n"/>
      <c r="H37" s="22" t="n"/>
      <c r="I37" s="23" t="n"/>
    </row>
    <row r="38" customFormat="1" s="15">
      <c r="A38" s="12" t="n">
        <v>26</v>
      </c>
      <c r="B38" s="13" t="inlineStr">
        <is>
          <t>Advanced Fact Concepts</t>
        </is>
      </c>
      <c r="C38" s="14" t="inlineStr">
        <is>
          <t>Factless Fact Table</t>
        </is>
      </c>
      <c r="D38" s="13" t="inlineStr">
        <is>
          <t>Medium</t>
        </is>
      </c>
      <c r="E38" s="13" t="inlineStr">
        <is>
          <t>Completed</t>
        </is>
      </c>
      <c r="F38" s="13" t="n"/>
      <c r="G38" s="13" t="n"/>
      <c r="H38" s="14" t="inlineStr">
        <is>
          <t>Fact table with no measures, just keys — captures events/relationships (e.g. student attended class) or coverage (what didn't happen).</t>
        </is>
      </c>
      <c r="I38" s="13" t="n"/>
    </row>
    <row r="39"/>
    <row r="40" ht="30" customHeight="1">
      <c r="A40" s="17" t="inlineStr">
        <is>
          <t>EXAMPLE (for reference only — edit/delete before use): Topic Area: Schema Design | Subtopic: Star Schema | Priority: High | Status: Completed | Notes: Understood denormalized dims joined directly to fact table; drew sample schema for retail sales.</t>
        </is>
      </c>
    </row>
  </sheetData>
  <mergeCells count="11">
    <mergeCell ref="A2:I2"/>
    <mergeCell ref="A28:I28"/>
    <mergeCell ref="A5:I5"/>
    <mergeCell ref="A32:I32"/>
    <mergeCell ref="A13:I13"/>
    <mergeCell ref="A37:I37"/>
    <mergeCell ref="A1:I1"/>
    <mergeCell ref="A40:I40"/>
    <mergeCell ref="A9:I9"/>
    <mergeCell ref="A18:I18"/>
    <mergeCell ref="A22:I22"/>
  </mergeCells>
  <conditionalFormatting sqref="E5:E38">
    <cfRule type="expression" priority="2" dxfId="0">
      <formula>$E5="Not Started"</formula>
    </cfRule>
    <cfRule type="expression" priority="3" dxfId="4">
      <formula>$E5="In Progress"</formula>
    </cfRule>
    <cfRule type="expression" priority="4" dxfId="1">
      <formula>$E5="Completed"</formula>
    </cfRule>
    <cfRule type="expression" priority="5" dxfId="2">
      <formula>$E5="Revise Again"</formula>
    </cfRule>
    <cfRule type="cellIs" priority="6" operator="equal" dxfId="0">
      <formula>"Not Started"</formula>
    </cfRule>
    <cfRule type="cellIs" priority="7" operator="equal" dxfId="4">
      <formula>"In Progress"</formula>
    </cfRule>
    <cfRule type="cellIs" priority="8" operator="equal" dxfId="1">
      <formula>"Completed"</formula>
    </cfRule>
    <cfRule type="cellIs" priority="9" operator="equal" dxfId="2">
      <formula>"Revise Again"</formula>
    </cfRule>
  </conditionalFormatting>
  <dataValidations count="2">
    <dataValidation sqref="E5:E38" showDropDown="0" showInputMessage="0" showErrorMessage="0" allowBlank="1" error="Choose a value from the list" prompt="Select status" type="list">
      <formula1>"Not Started,In Progress,Completed,Revise Again"</formula1>
      <formula2>0</formula2>
    </dataValidation>
    <dataValidation sqref="D5:D38" showDropDown="0" showInputMessage="0" showErrorMessage="0" allowBlank="1" type="list">
      <formula1>"High,Medium,Low"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tabSelected="1" zoomScaleNormal="100" workbookViewId="0">
      <pane ySplit="4" topLeftCell="A31" activePane="bottomLeft" state="frozen"/>
      <selection pane="bottomLeft" activeCell="B41" sqref="B41"/>
    </sheetView>
  </sheetViews>
  <sheetFormatPr baseColWidth="8" defaultColWidth="8.7109375" defaultRowHeight="15"/>
  <cols>
    <col width="5" customWidth="1" min="1" max="1"/>
    <col width="22" customWidth="1" min="2" max="2"/>
    <col width="40" customWidth="1" min="3" max="3"/>
    <col width="10" customWidth="1" min="4" max="4"/>
    <col width="14" customWidth="1" min="5" max="5"/>
    <col width="13" customWidth="1" min="6" max="6"/>
    <col width="15" customWidth="1" min="7" max="7"/>
    <col width="40" customWidth="1" min="8" max="8"/>
    <col width="22" customWidth="1" min="9" max="9"/>
  </cols>
  <sheetData>
    <row r="1" ht="25.5" customHeight="1">
      <c r="A1" s="18" t="inlineStr">
        <is>
          <t>PySpark</t>
        </is>
      </c>
    </row>
    <row r="2" ht="18" customHeight="1">
      <c r="A2" s="20" t="inlineStr">
        <is>
          <t>In-depth architecture, DataFrame fundamentals, joins, and performance tuning</t>
        </is>
      </c>
    </row>
    <row r="4" ht="19.5" customHeight="1">
      <c r="A4" s="1" t="inlineStr">
        <is>
          <t>#</t>
        </is>
      </c>
      <c r="B4" s="1" t="inlineStr">
        <is>
          <t>Topic Area</t>
        </is>
      </c>
      <c r="C4" s="1" t="inlineStr">
        <is>
          <t>Subtopic / Concept</t>
        </is>
      </c>
      <c r="D4" s="1" t="inlineStr">
        <is>
          <t>Priority</t>
        </is>
      </c>
      <c r="E4" s="1" t="inlineStr">
        <is>
          <t>Status</t>
        </is>
      </c>
      <c r="F4" s="1" t="inlineStr">
        <is>
          <t>Date Started</t>
        </is>
      </c>
      <c r="G4" s="1" t="inlineStr">
        <is>
          <t>Date Completed</t>
        </is>
      </c>
      <c r="H4" s="1" t="inlineStr">
        <is>
          <t>Notes / Key Learnings</t>
        </is>
      </c>
      <c r="I4" s="1" t="inlineStr">
        <is>
          <t>Resource / Link</t>
        </is>
      </c>
    </row>
    <row r="5">
      <c r="A5" s="16" t="inlineStr">
        <is>
          <t>Architecture</t>
        </is>
      </c>
      <c r="B5" s="22" t="n"/>
      <c r="C5" s="22" t="n"/>
      <c r="D5" s="22" t="n"/>
      <c r="E5" s="22" t="n"/>
      <c r="F5" s="22" t="n"/>
      <c r="G5" s="22" t="n"/>
      <c r="H5" s="22" t="n"/>
      <c r="I5" s="23" t="n"/>
    </row>
    <row r="6">
      <c r="A6" s="8" t="n">
        <v>1</v>
      </c>
      <c r="B6" s="3" t="inlineStr">
        <is>
          <t>Architecture</t>
        </is>
      </c>
      <c r="C6" s="9" t="inlineStr">
        <is>
          <t>Driver, Executor, Cluster Manager overview</t>
        </is>
      </c>
      <c r="D6" s="3" t="inlineStr">
        <is>
          <t>High</t>
        </is>
      </c>
      <c r="E6" s="3" t="inlineStr">
        <is>
          <t>Completed</t>
        </is>
      </c>
      <c r="F6" s="3" t="n"/>
      <c r="G6" s="3" t="n"/>
      <c r="H6" s="9" t="inlineStr">
        <is>
          <t>Driver: runs main program, builds DAG, schedules tasks. Executors: run tasks, store data in memory/disk. Cluster manager (YARN/Standalone/Kubernetes) allocates resources across the cluster.</t>
        </is>
      </c>
      <c r="I6" s="3" t="n"/>
    </row>
    <row r="7" ht="24" customHeight="1">
      <c r="A7" s="8" t="n">
        <v>2</v>
      </c>
      <c r="B7" s="3" t="inlineStr">
        <is>
          <t>Architecture</t>
        </is>
      </c>
      <c r="C7" s="9" t="inlineStr">
        <is>
          <t>How an application runs in the backend (submission to execution)</t>
        </is>
      </c>
      <c r="D7" s="3" t="inlineStr">
        <is>
          <t>High</t>
        </is>
      </c>
      <c r="E7" s="3" t="inlineStr">
        <is>
          <t>Completed</t>
        </is>
      </c>
      <c r="F7" s="3" t="n"/>
      <c r="G7" s="3" t="n"/>
      <c r="H7" s="9" t="inlineStr">
        <is>
          <t>spark-submit -&gt; driver starts SparkContext -&gt; requests executors from cluster manager -&gt; driver builds DAG from transformations -&gt; DAG split into stages/tasks -&gt; tasks sent to executors -&gt; results returned to driver.</t>
        </is>
      </c>
      <c r="I7" s="3" t="n"/>
    </row>
    <row r="8">
      <c r="A8" s="8" t="n">
        <v>3</v>
      </c>
      <c r="B8" s="3" t="inlineStr">
        <is>
          <t>Architecture</t>
        </is>
      </c>
      <c r="C8" s="9" t="inlineStr">
        <is>
          <t>Job -&gt; Stages -&gt; Tasks breakdown</t>
        </is>
      </c>
      <c r="D8" s="3" t="inlineStr">
        <is>
          <t>High</t>
        </is>
      </c>
      <c r="E8" s="3" t="inlineStr">
        <is>
          <t>Completed</t>
        </is>
      </c>
      <c r="F8" s="3" t="n"/>
      <c r="G8" s="3" t="n"/>
      <c r="H8" s="9" t="inlineStr">
        <is>
          <t>Action triggers a Job. Job split into Stages at shuffle boundaries. Each stage split into Tasks, one per partition, run in parallel on executors.</t>
        </is>
      </c>
      <c r="I8" s="3" t="n"/>
    </row>
    <row r="9">
      <c r="A9" s="8" t="n">
        <v>4</v>
      </c>
      <c r="B9" s="3" t="inlineStr">
        <is>
          <t>Architecture</t>
        </is>
      </c>
      <c r="C9" s="9" t="inlineStr">
        <is>
          <t>Lazy Evaluation &amp; DAG</t>
        </is>
      </c>
      <c r="D9" s="3" t="inlineStr">
        <is>
          <t>High</t>
        </is>
      </c>
      <c r="E9" s="3" t="inlineStr">
        <is>
          <t>Completed</t>
        </is>
      </c>
      <c r="F9" s="3" t="n"/>
      <c r="G9" s="3" t="n"/>
      <c r="H9" s="9" t="inlineStr">
        <is>
          <t>Transformations (map/filter/select) build a logical DAG without executing; execution only triggered by an Action (collect/count/write), allowing Catalyst/Spark to optimize the whole plan first.</t>
        </is>
      </c>
      <c r="I9" s="3" t="n"/>
    </row>
    <row r="10">
      <c r="A10" s="16" t="inlineStr">
        <is>
          <t>File Formats</t>
        </is>
      </c>
      <c r="B10" s="22" t="n"/>
      <c r="C10" s="22" t="n"/>
      <c r="D10" s="22" t="n"/>
      <c r="E10" s="22" t="n"/>
      <c r="F10" s="22" t="n"/>
      <c r="G10" s="22" t="n"/>
      <c r="H10" s="22" t="n"/>
      <c r="I10" s="23" t="n"/>
    </row>
    <row r="11">
      <c r="A11" s="8" t="n">
        <v>5</v>
      </c>
      <c r="B11" s="3" t="inlineStr">
        <is>
          <t>File Formats</t>
        </is>
      </c>
      <c r="C11" s="9" t="inlineStr">
        <is>
          <t>CSV</t>
        </is>
      </c>
      <c r="D11" s="3" t="inlineStr">
        <is>
          <t>Low</t>
        </is>
      </c>
      <c r="E11" s="3" t="inlineStr">
        <is>
          <t>Completed</t>
        </is>
      </c>
      <c r="F11" s="3" t="n"/>
      <c r="G11" s="3" t="n"/>
      <c r="H11" s="9" t="inlineStr">
        <is>
          <t>Row-based, human-readable, no schema/type enforcement by default, slower to read/write, no compression/columnar pruning — fine for small/interchange data only.</t>
        </is>
      </c>
      <c r="I11" s="3" t="n"/>
    </row>
    <row r="12">
      <c r="A12" s="8" t="n">
        <v>6</v>
      </c>
      <c r="B12" s="3" t="inlineStr">
        <is>
          <t>File Formats</t>
        </is>
      </c>
      <c r="C12" s="9" t="inlineStr">
        <is>
          <t>Parquet</t>
        </is>
      </c>
      <c r="D12" s="3" t="inlineStr">
        <is>
          <t>High</t>
        </is>
      </c>
      <c r="E12" s="3" t="inlineStr">
        <is>
          <t>Completed</t>
        </is>
      </c>
      <c r="F12" s="3" t="n"/>
      <c r="G12" s="3" t="n"/>
      <c r="H12" s="9" t="inlineStr">
        <is>
          <t>Columnar, compressed, schema embedded, supports predicate/column pushdown — default and preferred format for Spark/Databricks pipelines.</t>
        </is>
      </c>
      <c r="I12" s="3" t="n"/>
    </row>
    <row r="13">
      <c r="A13" s="8" t="n">
        <v>7</v>
      </c>
      <c r="B13" s="3" t="inlineStr">
        <is>
          <t>File Formats</t>
        </is>
      </c>
      <c r="C13" s="9" t="inlineStr">
        <is>
          <t>AVRO</t>
        </is>
      </c>
      <c r="D13" s="3" t="inlineStr">
        <is>
          <t>Medium</t>
        </is>
      </c>
      <c r="E13" s="3" t="inlineStr">
        <is>
          <t>Completed</t>
        </is>
      </c>
      <c r="F13" s="3" t="n"/>
      <c r="G13" s="3" t="n"/>
      <c r="H13" s="9" t="inlineStr">
        <is>
          <t>Row-based binary format with schema evolution support, common for Kafka/streaming ingestion (schema registry compatibility).</t>
        </is>
      </c>
      <c r="I13" s="3" t="n"/>
    </row>
    <row r="14">
      <c r="A14" s="16" t="inlineStr">
        <is>
          <t>DataFrame Fundamentals</t>
        </is>
      </c>
      <c r="B14" s="22" t="n"/>
      <c r="C14" s="22" t="n"/>
      <c r="D14" s="22" t="n"/>
      <c r="E14" s="22" t="n"/>
      <c r="F14" s="22" t="n"/>
      <c r="G14" s="22" t="n"/>
      <c r="H14" s="22" t="n"/>
      <c r="I14" s="23" t="n"/>
    </row>
    <row r="15">
      <c r="A15" s="8" t="n">
        <v>8</v>
      </c>
      <c r="B15" s="3" t="inlineStr">
        <is>
          <t>DataFrame Fundamentals</t>
        </is>
      </c>
      <c r="C15" s="9" t="inlineStr">
        <is>
          <t>Creating &amp; transforming DataFrames</t>
        </is>
      </c>
      <c r="D15" s="3" t="inlineStr">
        <is>
          <t>Low</t>
        </is>
      </c>
      <c r="E15" s="3" t="inlineStr">
        <is>
          <t>Completed</t>
        </is>
      </c>
      <c r="F15" s="3" t="n"/>
      <c r="G15" s="3" t="n"/>
      <c r="H15" s="9" t="inlineStr">
        <is>
          <t>Create via spark.read, spark.createDataFrame, or SQL; transform via select/filter/withColumn/groupBy chains that build the logical plan.</t>
        </is>
      </c>
      <c r="I15" s="3" t="n"/>
    </row>
    <row r="16" ht="23.85" customHeight="1">
      <c r="A16" s="8" t="n">
        <v>9</v>
      </c>
      <c r="B16" s="3" t="inlineStr">
        <is>
          <t>DataFrame Fundamentals</t>
        </is>
      </c>
      <c r="C16" s="9" t="inlineStr">
        <is>
          <t>Common transformations (select, filter, withColumn, groupBy)</t>
        </is>
      </c>
      <c r="D16" s="3" t="inlineStr">
        <is>
          <t>Low</t>
        </is>
      </c>
      <c r="E16" s="3" t="inlineStr">
        <is>
          <t>Completed</t>
        </is>
      </c>
      <c r="F16" s="3" t="n"/>
      <c r="G16" s="3" t="n"/>
      <c r="H16" s="9" t="inlineStr">
        <is>
          <t>select projects columns, filter/where subsets rows, withColumn adds/modifies a column, groupBy+agg aggregates — all lazy transformations.</t>
        </is>
      </c>
      <c r="I16" s="3" t="n"/>
    </row>
    <row r="17">
      <c r="A17" s="8" t="n">
        <v>10</v>
      </c>
      <c r="B17" s="3" t="inlineStr">
        <is>
          <t>DataFrame Fundamentals</t>
        </is>
      </c>
      <c r="C17" s="9" t="inlineStr">
        <is>
          <t>Actions vs Transformations</t>
        </is>
      </c>
      <c r="D17" s="3" t="inlineStr">
        <is>
          <t>High</t>
        </is>
      </c>
      <c r="E17" s="3" t="inlineStr">
        <is>
          <t>Completed</t>
        </is>
      </c>
      <c r="F17" s="3" t="n"/>
      <c r="G17" s="3" t="n"/>
      <c r="H17" s="9" t="inlineStr">
        <is>
          <t>Transformations are lazy (return new DataFrame, build DAG): select/filter/join. Actions trigger execution and return results/write output: count/collect/show/write.</t>
        </is>
      </c>
      <c r="I17" s="3" t="n"/>
    </row>
    <row r="18">
      <c r="A18" s="16" t="inlineStr">
        <is>
          <t>Joins</t>
        </is>
      </c>
      <c r="B18" s="22" t="n"/>
      <c r="C18" s="22" t="n"/>
      <c r="D18" s="22" t="n"/>
      <c r="E18" s="22" t="n"/>
      <c r="F18" s="22" t="n"/>
      <c r="G18" s="22" t="n"/>
      <c r="H18" s="22" t="n"/>
      <c r="I18" s="23" t="n"/>
    </row>
    <row r="19">
      <c r="A19" s="8" t="n">
        <v>11</v>
      </c>
      <c r="B19" s="3" t="inlineStr">
        <is>
          <t>Joins</t>
        </is>
      </c>
      <c r="C19" s="9" t="inlineStr">
        <is>
          <t>Broadcast Hash Join</t>
        </is>
      </c>
      <c r="D19" s="3" t="inlineStr">
        <is>
          <t>High</t>
        </is>
      </c>
      <c r="E19" s="3" t="inlineStr">
        <is>
          <t>Completed</t>
        </is>
      </c>
      <c r="F19" s="3" t="n"/>
      <c r="G19" s="3" t="n"/>
      <c r="H19" s="9" t="inlineStr">
        <is>
          <t>Small table broadcast in full to every executor, avoids shuffle; used automatically when one side is below spark.sql.autoBroadcastJoinThreshold (default 10MB).</t>
        </is>
      </c>
      <c r="I19" s="3" t="n"/>
    </row>
    <row r="20">
      <c r="A20" s="8" t="n">
        <v>12</v>
      </c>
      <c r="B20" s="3" t="inlineStr">
        <is>
          <t>Joins</t>
        </is>
      </c>
      <c r="C20" s="9" t="inlineStr">
        <is>
          <t>Sort Merge Join</t>
        </is>
      </c>
      <c r="D20" s="3" t="inlineStr">
        <is>
          <t>High</t>
        </is>
      </c>
      <c r="E20" s="3" t="inlineStr">
        <is>
          <t>Completed</t>
        </is>
      </c>
      <c r="F20" s="3" t="n"/>
      <c r="G20" s="3" t="n"/>
      <c r="H20" s="9" t="inlineStr">
        <is>
          <t>Default for large-large joins; both sides shuffled and sorted on join key, then merged — expensive due to shuffle+sort.</t>
        </is>
      </c>
      <c r="I20" s="3" t="n"/>
    </row>
    <row r="21">
      <c r="A21" s="8" t="n">
        <v>13</v>
      </c>
      <c r="B21" s="3" t="inlineStr">
        <is>
          <t>Joins</t>
        </is>
      </c>
      <c r="C21" s="9" t="inlineStr">
        <is>
          <t>Shuffle Hash Join</t>
        </is>
      </c>
      <c r="D21" s="3" t="inlineStr">
        <is>
          <t>Medium</t>
        </is>
      </c>
      <c r="E21" s="3" t="inlineStr">
        <is>
          <t>Completed</t>
        </is>
      </c>
      <c r="F21" s="3" t="n"/>
      <c r="G21" s="3" t="n"/>
      <c r="H21" s="9" t="inlineStr">
        <is>
          <t>Builds a hash table on the smaller side per partition after shuffle, no sort needed; used when broadcast isn't possible but one side is still moderately smaller.</t>
        </is>
      </c>
      <c r="I21" s="3" t="n"/>
    </row>
    <row r="22">
      <c r="A22" s="16" t="inlineStr">
        <is>
          <t>Performance Tuning</t>
        </is>
      </c>
      <c r="B22" s="22" t="n"/>
      <c r="C22" s="22" t="n"/>
      <c r="D22" s="22" t="n"/>
      <c r="E22" s="22" t="n"/>
      <c r="F22" s="22" t="n"/>
      <c r="G22" s="22" t="n"/>
      <c r="H22" s="22" t="n"/>
      <c r="I22" s="23" t="n"/>
    </row>
    <row r="23">
      <c r="A23" s="8" t="n">
        <v>14</v>
      </c>
      <c r="B23" s="3" t="inlineStr">
        <is>
          <t>Performance Tuning</t>
        </is>
      </c>
      <c r="C23" s="9" t="inlineStr">
        <is>
          <t>Partitioning</t>
        </is>
      </c>
      <c r="D23" s="3" t="inlineStr">
        <is>
          <t>High</t>
        </is>
      </c>
      <c r="E23" s="3" t="inlineStr">
        <is>
          <t>Completed</t>
        </is>
      </c>
      <c r="F23" s="3" t="n"/>
      <c r="G23" s="3" t="n"/>
      <c r="H23" s="9" t="inlineStr">
        <is>
          <t>Data split into partitions processed in parallel; too few partitions underutilizes cluster, too many adds scheduling overhead — tune with repartition/spark.sql.shuffle.partitions.</t>
        </is>
      </c>
      <c r="I23" s="3" t="n"/>
    </row>
    <row r="24">
      <c r="A24" s="8" t="n">
        <v>15</v>
      </c>
      <c r="B24" s="3" t="inlineStr">
        <is>
          <t>Performance Tuning</t>
        </is>
      </c>
      <c r="C24" s="9" t="inlineStr">
        <is>
          <t>Repartition vs Coalesce</t>
        </is>
      </c>
      <c r="D24" s="3" t="inlineStr">
        <is>
          <t>High</t>
        </is>
      </c>
      <c r="E24" s="3" t="inlineStr">
        <is>
          <t>Completed</t>
        </is>
      </c>
      <c r="F24" s="3" t="n"/>
      <c r="G24" s="3" t="n"/>
      <c r="H24" s="9" t="inlineStr">
        <is>
          <t>repartition: full shuffle, can increase or decrease partitions, even distribution. coalesce: no/minimal shuffle, only decreases partitions, can cause uneven sizes — use coalesce before writing to reduce small files cheaply.</t>
        </is>
      </c>
      <c r="I24" s="3" t="n"/>
    </row>
    <row r="25">
      <c r="A25" s="8" t="n">
        <v>16</v>
      </c>
      <c r="B25" s="3" t="inlineStr">
        <is>
          <t>Performance Tuning</t>
        </is>
      </c>
      <c r="C25" s="9" t="inlineStr">
        <is>
          <t>Shuffle operations</t>
        </is>
      </c>
      <c r="D25" s="3" t="inlineStr">
        <is>
          <t>High</t>
        </is>
      </c>
      <c r="E25" s="3" t="inlineStr">
        <is>
          <t>Completed</t>
        </is>
      </c>
      <c r="F25" s="3" t="n"/>
      <c r="G25" s="3" t="n"/>
      <c r="H25" s="9" t="inlineStr">
        <is>
          <t>Data movement across executors/network for wide transformations (groupBy, join, distinct, repartition) — most expensive Spark operation, minimize where possible.</t>
        </is>
      </c>
      <c r="I25" s="3" t="n"/>
    </row>
    <row r="26">
      <c r="A26" s="8" t="n">
        <v>17</v>
      </c>
      <c r="B26" s="3" t="inlineStr">
        <is>
          <t>Performance Tuning</t>
        </is>
      </c>
      <c r="C26" s="9" t="inlineStr">
        <is>
          <t>Cardinality</t>
        </is>
      </c>
      <c r="D26" s="3" t="inlineStr">
        <is>
          <t>Medium</t>
        </is>
      </c>
      <c r="E26" s="3" t="inlineStr">
        <is>
          <t>Completed</t>
        </is>
      </c>
      <c r="F26" s="3" t="n"/>
      <c r="G26" s="3" t="n"/>
      <c r="H26" s="9" t="inlineStr">
        <is>
          <t>Number of distinct values in a column; high cardinality (e.g. user_id) is good for join/partition keys, low cardinality (e.g. gender) risks skew if used for partitioning.</t>
        </is>
      </c>
      <c r="I26" s="3" t="n"/>
    </row>
    <row r="27">
      <c r="A27" s="8" t="n">
        <v>18</v>
      </c>
      <c r="B27" s="3" t="inlineStr">
        <is>
          <t>Performance Tuning</t>
        </is>
      </c>
      <c r="C27" s="9" t="inlineStr">
        <is>
          <t>Data Skew &amp; handling techniques (salting)</t>
        </is>
      </c>
      <c r="D27" s="3" t="inlineStr">
        <is>
          <t>High</t>
        </is>
      </c>
      <c r="E27" s="3" t="inlineStr">
        <is>
          <t>Completed</t>
        </is>
      </c>
      <c r="F27" s="3" t="n"/>
      <c r="G27" s="3" t="n"/>
      <c r="H27" s="9" t="inlineStr">
        <is>
          <t>Skew: uneven data distribution across partitions causes some tasks to take much longer. Salting: append random suffix to skewed key, join, then aggregate/strip suffix, to spread load evenly. AQE skew join handling also helps automatically.</t>
        </is>
      </c>
      <c r="I27" s="3" t="n"/>
    </row>
    <row r="28">
      <c r="A28" s="8" t="n">
        <v>19</v>
      </c>
      <c r="B28" s="3" t="inlineStr">
        <is>
          <t>Performance Tuning</t>
        </is>
      </c>
      <c r="C28" s="9" t="inlineStr">
        <is>
          <t>Broadcast variables/joins</t>
        </is>
      </c>
      <c r="D28" s="3" t="inlineStr">
        <is>
          <t>High</t>
        </is>
      </c>
      <c r="E28" s="3" t="inlineStr">
        <is>
          <t>Completed</t>
        </is>
      </c>
      <c r="F28" s="3" t="n"/>
      <c r="G28" s="3" t="n"/>
      <c r="H28" s="9" t="inlineStr">
        <is>
          <t>Broadcast variable: read-only value cached on each executor once (avoids re-sending per task). Broadcast join uses this for small-table joins to avoid shuffle.</t>
        </is>
      </c>
      <c r="I28" s="3" t="n"/>
    </row>
    <row r="29">
      <c r="A29" s="8" t="n">
        <v>20</v>
      </c>
      <c r="B29" s="3" t="inlineStr">
        <is>
          <t>Performance Tuning</t>
        </is>
      </c>
      <c r="C29" s="9" t="inlineStr">
        <is>
          <t>Predicate Pushdown</t>
        </is>
      </c>
      <c r="D29" s="3" t="inlineStr">
        <is>
          <t>Medium</t>
        </is>
      </c>
      <c r="E29" s="3" t="inlineStr">
        <is>
          <t>Completed</t>
        </is>
      </c>
      <c r="F29" s="3" t="n"/>
      <c r="G29" s="3" t="n"/>
      <c r="H29" s="9" t="inlineStr">
        <is>
          <t>Filters pushed down to the data source (e.g. Parquet file scan) so only needed rows are read, reducing I/O.</t>
        </is>
      </c>
      <c r="I29" s="3" t="n"/>
    </row>
    <row r="30">
      <c r="A30" s="8" t="n">
        <v>21</v>
      </c>
      <c r="B30" s="3" t="inlineStr">
        <is>
          <t>Performance Tuning</t>
        </is>
      </c>
      <c r="C30" s="9" t="inlineStr">
        <is>
          <t>Caching vs Persistence (storage levels)</t>
        </is>
      </c>
      <c r="D30" s="3" t="inlineStr">
        <is>
          <t>Medium</t>
        </is>
      </c>
      <c r="E30" s="3" t="inlineStr">
        <is>
          <t>Completed</t>
        </is>
      </c>
      <c r="F30" s="3" t="n"/>
      <c r="G30" s="3" t="n"/>
      <c r="H30" s="9" t="inlineStr">
        <is>
          <t>cache() = persist with default MEMORY_AND_DISK. persist() lets you choose storage level (MEMORY_ONLY, MEMORY_AND_DISK, DISK_ONLY, with/without serialization) — use when a DataFrame is reused across multiple actions.</t>
        </is>
      </c>
      <c r="I30" s="3" t="n"/>
    </row>
    <row r="31" customFormat="1" s="15">
      <c r="A31" s="12" t="n">
        <v>22</v>
      </c>
      <c r="B31" s="13" t="inlineStr">
        <is>
          <t>Performance Tuning</t>
        </is>
      </c>
      <c r="C31" s="14" t="inlineStr">
        <is>
          <t>Serialization (Kryo vs Java)</t>
        </is>
      </c>
      <c r="D31" s="13" t="inlineStr">
        <is>
          <t>Low</t>
        </is>
      </c>
      <c r="E31" s="13" t="inlineStr">
        <is>
          <t>Completed</t>
        </is>
      </c>
      <c r="F31" s="13" t="n"/>
      <c r="G31" s="13" t="n"/>
      <c r="H31" s="14" t="inlineStr">
        <is>
          <t>Java serialization is default, flexible but slow/large. Kryo is faster and more compact, recommended for production (spark.serializer=KryoSerializer) but needs classes registered for best performance.</t>
        </is>
      </c>
      <c r="I31" s="13" t="n"/>
    </row>
    <row r="32">
      <c r="A32" s="8" t="n">
        <v>23</v>
      </c>
      <c r="B32" s="3" t="inlineStr">
        <is>
          <t>Performance Tuning</t>
        </is>
      </c>
      <c r="C32" s="9" t="inlineStr">
        <is>
          <t>Adaptive Query Execution (AQE)</t>
        </is>
      </c>
      <c r="D32" s="3" t="inlineStr">
        <is>
          <t>High</t>
        </is>
      </c>
      <c r="E32" s="3" t="inlineStr">
        <is>
          <t>Completed</t>
        </is>
      </c>
      <c r="F32" s="3" t="n"/>
      <c r="G32" s="3" t="n"/>
      <c r="H32" s="9" t="inlineStr">
        <is>
          <t>Runtime re-optimization: dynamically coalesces shuffle partitions, switches sort-merge to broadcast join when actual size is small, and splits skewed partitions — enabled by default in modern Spark.</t>
        </is>
      </c>
      <c r="I32" s="3" t="n"/>
    </row>
    <row r="33">
      <c r="A33" s="8" t="n">
        <v>24</v>
      </c>
      <c r="B33" s="3" t="inlineStr">
        <is>
          <t>Performance Tuning</t>
        </is>
      </c>
      <c r="C33" s="9" t="inlineStr">
        <is>
          <t>Small file problem &amp; solutions</t>
        </is>
      </c>
      <c r="D33" s="3" t="inlineStr">
        <is>
          <t>High</t>
        </is>
      </c>
      <c r="E33" s="3" t="inlineStr">
        <is>
          <t>Completed</t>
        </is>
      </c>
      <c r="F33" s="3" t="n"/>
      <c r="G33" s="3" t="n"/>
      <c r="H33" s="9" t="inlineStr">
        <is>
          <t>Too many tiny files from frequent small writes (esp. streaming) hurts read performance due to overhead per file. Fix: coalesce/repartition before write, Delta OPTIMIZE (compaction), Auto Loader file consolidation.</t>
        </is>
      </c>
      <c r="I33" s="3" t="n"/>
    </row>
    <row r="34">
      <c r="A34" s="16" t="inlineStr">
        <is>
          <t>Core Concepts</t>
        </is>
      </c>
      <c r="B34" s="22" t="n"/>
      <c r="C34" s="22" t="n"/>
      <c r="D34" s="22" t="n"/>
      <c r="E34" s="22" t="n"/>
      <c r="F34" s="22" t="n"/>
      <c r="G34" s="22" t="n"/>
      <c r="H34" s="22" t="n"/>
      <c r="I34" s="23" t="n"/>
    </row>
    <row r="35" customFormat="1" s="15">
      <c r="A35" s="12" t="n">
        <v>25</v>
      </c>
      <c r="B35" s="13" t="inlineStr">
        <is>
          <t>Core Concepts</t>
        </is>
      </c>
      <c r="C35" s="14" t="inlineStr">
        <is>
          <t>RDD vs DataFrame vs Dataset</t>
        </is>
      </c>
      <c r="D35" s="13" t="inlineStr">
        <is>
          <t>Medium</t>
        </is>
      </c>
      <c r="E35" s="13" t="inlineStr">
        <is>
          <t>Completed</t>
        </is>
      </c>
      <c r="F35" s="13" t="n"/>
      <c r="G35" s="13" t="n"/>
      <c r="H35" s="14" t="inlineStr">
        <is>
          <t>RDD: low-level, no schema, no Catalyst optimization. DataFrame: schema-aware, Catalyst+Tungsten optimized, untyped (Python/SQL). Dataset: DataFrame + compile-time type safety (JVM languages only, not available in PySpark).</t>
        </is>
      </c>
      <c r="I35" s="13" t="n"/>
    </row>
    <row r="36">
      <c r="A36" s="8" t="n">
        <v>26</v>
      </c>
      <c r="B36" s="3" t="inlineStr">
        <is>
          <t>Core Concepts</t>
        </is>
      </c>
      <c r="C36" s="9" t="inlineStr">
        <is>
          <t>Spark SQL basics</t>
        </is>
      </c>
      <c r="D36" s="3" t="inlineStr">
        <is>
          <t>Low</t>
        </is>
      </c>
      <c r="E36" s="3" t="inlineStr">
        <is>
          <t>Completed</t>
        </is>
      </c>
      <c r="F36" s="3" t="n"/>
      <c r="G36" s="3" t="n"/>
      <c r="H36" s="9" t="inlineStr">
        <is>
          <t>Run SQL directly on DataFrames registered as temp views (createOrReplaceTempView) via spark.sql(); compiles to same Catalyst plan as DataFrame API.</t>
        </is>
      </c>
      <c r="I36" s="3" t="n"/>
    </row>
    <row r="37" ht="23.85" customHeight="1">
      <c r="A37" s="8" t="n">
        <v>27</v>
      </c>
      <c r="B37" s="3" t="inlineStr">
        <is>
          <t>Core Concepts</t>
        </is>
      </c>
      <c r="C37" s="9" t="inlineStr">
        <is>
          <t>UDFs &amp; Pandas UDFs (and their performance cost)</t>
        </is>
      </c>
      <c r="D37" s="3" t="inlineStr">
        <is>
          <t>High</t>
        </is>
      </c>
      <c r="E37" s="3" t="inlineStr">
        <is>
          <t>Completed</t>
        </is>
      </c>
      <c r="F37" s="3" t="n"/>
      <c r="G37" s="3" t="n"/>
      <c r="H37" s="9" t="inlineStr">
        <is>
          <t>Regular UDFs: row-by-row, break Catalyst optimization, serialize data to Python process (slow). Pandas UDFs (vectorized, Arrow-based): operate on batches, much faster — always prefer built-in functions first, then Pandas UDF over regular UDF.</t>
        </is>
      </c>
      <c r="I37" s="3" t="n"/>
    </row>
    <row r="38" customFormat="1" s="15">
      <c r="A38" s="12" t="n">
        <v>28</v>
      </c>
      <c r="B38" s="13" t="inlineStr">
        <is>
          <t>Core Concepts</t>
        </is>
      </c>
      <c r="C38" s="14" t="inlineStr">
        <is>
          <t>Cluster deployment modes (client vs cluster)</t>
        </is>
      </c>
      <c r="D38" s="13" t="inlineStr">
        <is>
          <t>Low</t>
        </is>
      </c>
      <c r="E38" s="13" t="inlineStr">
        <is>
          <t>Completed</t>
        </is>
      </c>
      <c r="F38" s="13" t="n"/>
      <c r="G38" s="13" t="n"/>
      <c r="H38" s="14" t="inlineStr">
        <is>
          <t>Client mode: driver runs on the machine that submitted the job (good for interactive/notebooks). Cluster mode: driver runs inside the cluster (good for production jobs, resilient to submitting-machine disconnect).</t>
        </is>
      </c>
      <c r="I38" s="13" t="n"/>
    </row>
    <row r="39" ht="23.85" customHeight="1">
      <c r="A39" s="8" t="n">
        <v>29</v>
      </c>
      <c r="B39" s="3" t="inlineStr">
        <is>
          <t>Core Concepts</t>
        </is>
      </c>
      <c r="C39" s="9" t="inlineStr">
        <is>
          <t>Memory management (execution vs storage memory, spill)</t>
        </is>
      </c>
      <c r="D39" s="3" t="inlineStr">
        <is>
          <t>Medium</t>
        </is>
      </c>
      <c r="E39" s="3" t="inlineStr">
        <is>
          <t>Completed</t>
        </is>
      </c>
      <c r="F39" s="3" t="n"/>
      <c r="G39" s="3" t="n"/>
      <c r="H39" s="9" t="inlineStr">
        <is>
          <t>Unified memory split between execution (shuffles/joins/sorts) and storage (caching), can borrow from each other. Spill: when data exceeds memory, Spark writes to disk, slowing performance.</t>
        </is>
      </c>
      <c r="I39" s="3" t="n"/>
    </row>
    <row r="40">
      <c r="A40" s="8" t="n">
        <v>30</v>
      </c>
      <c r="B40" s="3" t="inlineStr">
        <is>
          <t>Core Concepts</t>
        </is>
      </c>
      <c r="C40" s="9" t="inlineStr">
        <is>
          <t>Checkpointing</t>
        </is>
      </c>
      <c r="D40" s="3" t="inlineStr">
        <is>
          <t>Medium</t>
        </is>
      </c>
      <c r="E40" s="3" t="inlineStr">
        <is>
          <t>Completed</t>
        </is>
      </c>
      <c r="F40" s="3" t="n"/>
      <c r="G40" s="3" t="n"/>
      <c r="H40" s="9" t="inlineStr">
        <is>
          <t>Truncates the lineage DAG by saving DataFrame to reliable storage, used to avoid recomputation for long iterative jobs and required for streaming stateful operations.</t>
        </is>
      </c>
      <c r="I40" s="3" t="n"/>
    </row>
    <row r="41" ht="24" customHeight="1">
      <c r="A41" s="8" t="n">
        <v>31</v>
      </c>
      <c r="B41" s="3" t="inlineStr">
        <is>
          <t>Core Concepts</t>
        </is>
      </c>
      <c r="C41" s="9" t="inlineStr">
        <is>
          <t>Reading the Spark UI (DAG, stages, tasks, shuffle)</t>
        </is>
      </c>
      <c r="D41" s="3" t="inlineStr">
        <is>
          <t>High</t>
        </is>
      </c>
      <c r="E41" s="3" t="inlineStr">
        <is>
          <t>Completed</t>
        </is>
      </c>
      <c r="F41" s="3" t="n"/>
      <c r="G41" s="3" t="n"/>
      <c r="H41" s="9" t="inlineStr">
        <is>
          <t>Spark UI shows Jobs &gt; Stages &gt; Tasks, DAG visualization, shuffle read/write sizes, task duration skew — primary tool for diagnosing slow/skewed stages.</t>
        </is>
      </c>
      <c r="I41" s="3" t="n"/>
    </row>
    <row r="42">
      <c r="A42" s="16" t="inlineStr">
        <is>
          <t>Structured Streaming</t>
        </is>
      </c>
      <c r="B42" s="22" t="n"/>
      <c r="C42" s="22" t="n"/>
      <c r="D42" s="22" t="n"/>
      <c r="E42" s="22" t="n"/>
      <c r="F42" s="22" t="n"/>
      <c r="G42" s="22" t="n"/>
      <c r="H42" s="22" t="n"/>
      <c r="I42" s="23" t="n"/>
    </row>
    <row r="43" ht="23.85" customHeight="1">
      <c r="A43" s="8" t="n">
        <v>32</v>
      </c>
      <c r="B43" s="3" t="inlineStr">
        <is>
          <t>Structured Streaming</t>
        </is>
      </c>
      <c r="C43" s="9" t="inlineStr">
        <is>
          <t>Structured Streaming fundamentals (micro-batch vs continuous)</t>
        </is>
      </c>
      <c r="D43" s="3" t="inlineStr">
        <is>
          <t>Medium</t>
        </is>
      </c>
      <c r="E43" s="3" t="inlineStr">
        <is>
          <t>Completed</t>
        </is>
      </c>
      <c r="F43" s="3" t="n"/>
      <c r="G43" s="3" t="n"/>
      <c r="H43" s="9" t="inlineStr">
        <is>
          <t>Micro-batch (default): processes data in small batches, higher latency (~100ms+), exactly-once. Continuous processing: experimental, lower latency but at-least-once, limited operator support.</t>
        </is>
      </c>
      <c r="I43" s="3" t="n"/>
    </row>
    <row r="44">
      <c r="A44" s="8" t="n">
        <v>33</v>
      </c>
      <c r="B44" s="3" t="inlineStr">
        <is>
          <t>Structured Streaming</t>
        </is>
      </c>
      <c r="C44" s="9" t="inlineStr">
        <is>
          <t>Watermarking &amp; windowed aggregations</t>
        </is>
      </c>
      <c r="D44" s="3" t="inlineStr">
        <is>
          <t>Medium</t>
        </is>
      </c>
      <c r="E44" s="3" t="inlineStr">
        <is>
          <t>Completed</t>
        </is>
      </c>
      <c r="F44" s="3" t="n"/>
      <c r="G44" s="3" t="n"/>
      <c r="H44" s="9" t="inlineStr">
        <is>
          <t>Windowed aggregation groups streaming events into time windows. Watermark defines how long to wait for late data before finalizing/dropping a window's state, bounding state growth.</t>
        </is>
      </c>
      <c r="I44" s="3" t="n"/>
    </row>
    <row r="45"/>
    <row r="46" ht="30" customHeight="1">
      <c r="A46" s="17" t="inlineStr">
        <is>
          <t>EXAMPLE (for reference only — edit/delete before use): Topic Area: Performance Tuning | Subtopic: Data Skew &amp; handling techniques (salting) | Priority: High | Status: In Progress | Notes: Read Spark docs, implemented salting demo on skewed join key in a notebook.</t>
        </is>
      </c>
    </row>
  </sheetData>
  <mergeCells count="10">
    <mergeCell ref="A2:I2"/>
    <mergeCell ref="A10:I10"/>
    <mergeCell ref="A5:I5"/>
    <mergeCell ref="A46:I46"/>
    <mergeCell ref="A42:I42"/>
    <mergeCell ref="A14:I14"/>
    <mergeCell ref="A1:I1"/>
    <mergeCell ref="A18:I18"/>
    <mergeCell ref="A22:I22"/>
    <mergeCell ref="A34:I34"/>
  </mergeCells>
  <conditionalFormatting sqref="E5:E44">
    <cfRule type="expression" priority="2" dxfId="0">
      <formula>$E5="Not Started"</formula>
    </cfRule>
    <cfRule type="expression" priority="3" dxfId="4">
      <formula>$E5="In Progress"</formula>
    </cfRule>
    <cfRule type="expression" priority="4" dxfId="1">
      <formula>$E5="Completed"</formula>
    </cfRule>
    <cfRule type="expression" priority="5" dxfId="2">
      <formula>$E5="Revise Again"</formula>
    </cfRule>
    <cfRule type="cellIs" priority="6" operator="equal" dxfId="0">
      <formula>"Not Started"</formula>
    </cfRule>
    <cfRule type="cellIs" priority="7" operator="equal" dxfId="4">
      <formula>"In Progress"</formula>
    </cfRule>
    <cfRule type="cellIs" priority="8" operator="equal" dxfId="1">
      <formula>"Completed"</formula>
    </cfRule>
    <cfRule type="cellIs" priority="9" operator="equal" dxfId="2">
      <formula>"Revise Again"</formula>
    </cfRule>
  </conditionalFormatting>
  <dataValidations count="2">
    <dataValidation sqref="E5:E44" showDropDown="0" showInputMessage="0" showErrorMessage="0" allowBlank="1" error="Choose a value from the list" prompt="Select status" type="list">
      <formula1>"Not Started,In Progress,Completed,Revise Again"</formula1>
      <formula2>0</formula2>
    </dataValidation>
    <dataValidation sqref="D5:D44" showDropDown="0" showInputMessage="0" showErrorMessage="0" allowBlank="1" type="list">
      <formula1>"High,Medium,Low"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zoomScaleNormal="100" workbookViewId="0">
      <pane ySplit="4" topLeftCell="A5" activePane="bottomLeft" state="frozen"/>
      <selection pane="bottomLeft" activeCell="C11" sqref="C11"/>
    </sheetView>
  </sheetViews>
  <sheetFormatPr baseColWidth="8" defaultColWidth="8.7109375" defaultRowHeight="15"/>
  <cols>
    <col width="11.140625" customWidth="1" min="1" max="1"/>
    <col width="22" customWidth="1" min="2" max="2"/>
    <col width="40" customWidth="1" min="3" max="3"/>
    <col width="10" customWidth="1" min="4" max="4"/>
    <col width="14" customWidth="1" min="5" max="5"/>
    <col width="13" customWidth="1" min="6" max="6"/>
    <col width="15" customWidth="1" min="7" max="7"/>
    <col width="40" customWidth="1" min="8" max="8"/>
    <col width="22" customWidth="1" min="9" max="9"/>
  </cols>
  <sheetData>
    <row r="1" ht="25.5" customHeight="1">
      <c r="A1" s="18" t="inlineStr">
        <is>
          <t>Databricks</t>
        </is>
      </c>
    </row>
    <row r="2" ht="18" customHeight="1">
      <c r="A2" s="20" t="inlineStr">
        <is>
          <t>Delta tables, compute, optimization techniques, Catalyst internals, Lakeflow, Medallion architecture</t>
        </is>
      </c>
    </row>
    <row r="4" ht="19.5" customHeight="1">
      <c r="A4" s="1" t="inlineStr">
        <is>
          <t>#</t>
        </is>
      </c>
      <c r="B4" s="1" t="inlineStr">
        <is>
          <t>Topic Area</t>
        </is>
      </c>
      <c r="C4" s="1" t="inlineStr">
        <is>
          <t>Subtopic / Concept</t>
        </is>
      </c>
      <c r="D4" s="1" t="inlineStr">
        <is>
          <t>Priority</t>
        </is>
      </c>
      <c r="E4" s="1" t="inlineStr">
        <is>
          <t>Status</t>
        </is>
      </c>
      <c r="F4" s="1" t="inlineStr">
        <is>
          <t>Date Started</t>
        </is>
      </c>
      <c r="G4" s="1" t="inlineStr">
        <is>
          <t>Date Completed</t>
        </is>
      </c>
      <c r="H4" s="1" t="inlineStr">
        <is>
          <t>Notes / Key Learnings</t>
        </is>
      </c>
      <c r="I4" s="1" t="inlineStr">
        <is>
          <t>Resource / Link</t>
        </is>
      </c>
    </row>
    <row r="5">
      <c r="A5" s="16" t="inlineStr">
        <is>
          <t>Delta Tables (Important)</t>
        </is>
      </c>
      <c r="B5" s="22" t="n"/>
      <c r="C5" s="22" t="n"/>
      <c r="D5" s="22" t="n"/>
      <c r="E5" s="22" t="n"/>
      <c r="F5" s="22" t="n"/>
      <c r="G5" s="22" t="n"/>
      <c r="H5" s="22" t="n"/>
      <c r="I5" s="23" t="n"/>
    </row>
    <row r="6">
      <c r="A6" s="8" t="n">
        <v>1</v>
      </c>
      <c r="B6" s="3" t="inlineStr">
        <is>
          <t>Delta Tables (Important)</t>
        </is>
      </c>
      <c r="C6" s="9" t="inlineStr">
        <is>
          <t>Delta Lake fundamentals (transaction log, ACID)</t>
        </is>
      </c>
      <c r="D6" s="3" t="inlineStr">
        <is>
          <t>High</t>
        </is>
      </c>
      <c r="E6" s="3" t="inlineStr">
        <is>
          <t>Completed</t>
        </is>
      </c>
      <c r="F6" s="3" t="n"/>
      <c r="G6" s="3" t="n"/>
      <c r="H6" s="9" t="inlineStr">
        <is>
          <t>Delta = Parquet + transaction log (_delta_log) of JSON commits, giving ACID transactions, versioning, and consistent reads/writes on the lake.</t>
        </is>
      </c>
      <c r="I6" s="3" t="n"/>
    </row>
    <row r="7">
      <c r="A7" s="8" t="n">
        <v>2</v>
      </c>
      <c r="B7" s="3" t="inlineStr">
        <is>
          <t>Delta Tables (Important)</t>
        </is>
      </c>
      <c r="C7" s="9" t="inlineStr">
        <is>
          <t>Time Travel &amp; versioning</t>
        </is>
      </c>
      <c r="D7" s="3" t="inlineStr">
        <is>
          <t>High</t>
        </is>
      </c>
      <c r="E7" s="3" t="inlineStr">
        <is>
          <t>Completed</t>
        </is>
      </c>
      <c r="F7" s="3" t="n"/>
      <c r="G7" s="3" t="n"/>
      <c r="H7" s="9" t="inlineStr">
        <is>
          <t>Query prior table state via VERSION AS OF / TIMESTAMP AS OF, using the transaction log — useful for audits, rollback, reproducing pipeline runs.</t>
        </is>
      </c>
      <c r="I7" s="3" t="n"/>
    </row>
    <row r="8">
      <c r="A8" s="8" t="n">
        <v>3</v>
      </c>
      <c r="B8" s="3" t="inlineStr">
        <is>
          <t>Delta Tables (Important)</t>
        </is>
      </c>
      <c r="C8" s="9" t="inlineStr">
        <is>
          <t>Schema evolution &amp; enforcement</t>
        </is>
      </c>
      <c r="D8" s="3" t="inlineStr">
        <is>
          <t>High</t>
        </is>
      </c>
      <c r="E8" s="3" t="inlineStr">
        <is>
          <t>Completed</t>
        </is>
      </c>
      <c r="F8" s="3" t="n"/>
      <c r="G8" s="3" t="n"/>
      <c r="H8" s="9" t="inlineStr">
        <is>
          <t>Enforcement: writes rejected if schema mismatches by default (prevents bad data). Evolution: mergeSchema/overwriteSchema options allow adding new columns intentionally during writes.</t>
        </is>
      </c>
      <c r="I8" s="3" t="n"/>
    </row>
    <row r="9">
      <c r="A9" s="16" t="inlineStr">
        <is>
          <t>Compute &amp; Notebooks</t>
        </is>
      </c>
      <c r="B9" s="22" t="n"/>
      <c r="C9" s="22" t="n"/>
      <c r="D9" s="22" t="n"/>
      <c r="E9" s="22" t="n"/>
      <c r="F9" s="22" t="n"/>
      <c r="G9" s="22" t="n"/>
      <c r="H9" s="22" t="n"/>
      <c r="I9" s="23" t="n"/>
    </row>
    <row r="10">
      <c r="A10" s="8" t="n">
        <v>4</v>
      </c>
      <c r="B10" s="3" t="inlineStr">
        <is>
          <t>Compute &amp; Notebooks</t>
        </is>
      </c>
      <c r="C10" s="9" t="inlineStr">
        <is>
          <t>Notebooks basics &amp; widgets</t>
        </is>
      </c>
      <c r="D10" s="3" t="inlineStr">
        <is>
          <t>Low</t>
        </is>
      </c>
      <c r="E10" s="3" t="inlineStr">
        <is>
          <t>Completed</t>
        </is>
      </c>
      <c r="F10" s="3" t="n"/>
      <c r="G10" s="3" t="n"/>
      <c r="H10" s="9" t="inlineStr">
        <is>
          <t>Databricks notebooks support multi-language cells (%python/%sql/%scala); widgets create parameterized input controls (dropdown/text) for interactive or job-driven notebooks.</t>
        </is>
      </c>
      <c r="I10" s="3" t="n"/>
    </row>
    <row r="11" ht="23.85" customHeight="1">
      <c r="A11" s="8" t="n">
        <v>5</v>
      </c>
      <c r="B11" s="3" t="inlineStr">
        <is>
          <t>Compute &amp; Notebooks</t>
        </is>
      </c>
      <c r="C11" s="9" t="inlineStr">
        <is>
          <t>Cluster types (All-purpose, Job, SQL Warehouse)</t>
        </is>
      </c>
      <c r="D11" s="3" t="inlineStr">
        <is>
          <t>Medium</t>
        </is>
      </c>
      <c r="E11" s="3" t="inlineStr">
        <is>
          <t>Completed</t>
        </is>
      </c>
      <c r="F11" s="3" t="n"/>
      <c r="G11" s="3" t="n"/>
      <c r="H11" s="9" t="inlineStr">
        <is>
          <t>All-purpose: interactive dev, shared, more expensive. Job cluster: spun up per job run, terminates after, cheaper for scheduled pipelines. SQL Warehouse: optimized compute for SQL/BI queries.</t>
        </is>
      </c>
      <c r="I11" s="3" t="n"/>
    </row>
    <row r="12">
      <c r="A12" s="8" t="n">
        <v>6</v>
      </c>
      <c r="B12" s="3" t="inlineStr">
        <is>
          <t>Compute &amp; Notebooks</t>
        </is>
      </c>
      <c r="C12" s="9" t="inlineStr">
        <is>
          <t>Cluster sizing &amp; autoscaling</t>
        </is>
      </c>
      <c r="D12" s="3" t="inlineStr">
        <is>
          <t>Medium</t>
        </is>
      </c>
      <c r="E12" s="3" t="inlineStr">
        <is>
          <t>Completed</t>
        </is>
      </c>
      <c r="F12" s="3" t="n"/>
      <c r="G12" s="3" t="n"/>
      <c r="H12" s="9" t="inlineStr">
        <is>
          <t>Autoscaling adjusts worker count within min/max based on load; right-size node type/count based on workload (memory-heavy vs compute-heavy) to balance cost and performance.</t>
        </is>
      </c>
      <c r="I12" s="3" t="n"/>
    </row>
    <row r="13">
      <c r="A13" s="16" t="inlineStr">
        <is>
          <t>Delta Optimization</t>
        </is>
      </c>
      <c r="B13" s="22" t="n"/>
      <c r="C13" s="22" t="n"/>
      <c r="D13" s="22" t="n"/>
      <c r="E13" s="22" t="n"/>
      <c r="F13" s="22" t="n"/>
      <c r="G13" s="22" t="n"/>
      <c r="H13" s="22" t="n"/>
      <c r="I13" s="23" t="n"/>
    </row>
    <row r="14">
      <c r="A14" s="8" t="n">
        <v>7</v>
      </c>
      <c r="B14" s="3" t="inlineStr">
        <is>
          <t>Delta Optimization</t>
        </is>
      </c>
      <c r="C14" s="9" t="inlineStr">
        <is>
          <t>OPTIMIZE (compaction / Z-Ordering)</t>
        </is>
      </c>
      <c r="D14" s="3" t="inlineStr">
        <is>
          <t>High</t>
        </is>
      </c>
      <c r="E14" s="3" t="inlineStr">
        <is>
          <t>Completed</t>
        </is>
      </c>
      <c r="F14" s="3" t="n"/>
      <c r="G14" s="3" t="n"/>
      <c r="H14" s="9" t="inlineStr">
        <is>
          <t>OPTIMIZE compacts small files into larger ones for faster reads. Z-ORDER co-locates related data by specified columns, improving data skipping for filtered queries.</t>
        </is>
      </c>
      <c r="I14" s="3" t="n"/>
    </row>
    <row r="15">
      <c r="A15" s="8" t="n">
        <v>8</v>
      </c>
      <c r="B15" s="3" t="inlineStr">
        <is>
          <t>Delta Optimization</t>
        </is>
      </c>
      <c r="C15" s="9" t="inlineStr">
        <is>
          <t>VACUUM</t>
        </is>
      </c>
      <c r="D15" s="3" t="inlineStr">
        <is>
          <t>High</t>
        </is>
      </c>
      <c r="E15" s="3" t="inlineStr">
        <is>
          <t>Completed</t>
        </is>
      </c>
      <c r="F15" s="3" t="n"/>
      <c r="G15" s="3" t="n"/>
      <c r="H15" s="9" t="inlineStr">
        <is>
          <t>Removes old data files no longer referenced by the transaction log, beyond retention period (default 7 days) — needed to control storage cost, but disables time travel beyond that window.</t>
        </is>
      </c>
      <c r="I15" s="3" t="n"/>
    </row>
    <row r="16">
      <c r="A16" s="8" t="n">
        <v>9</v>
      </c>
      <c r="B16" s="3" t="inlineStr">
        <is>
          <t>Delta Optimization</t>
        </is>
      </c>
      <c r="C16" s="9" t="inlineStr">
        <is>
          <t>Liquid Clustering</t>
        </is>
      </c>
      <c r="D16" s="3" t="inlineStr">
        <is>
          <t>Medium</t>
        </is>
      </c>
      <c r="E16" s="3" t="inlineStr">
        <is>
          <t>Completed</t>
        </is>
      </c>
      <c r="F16" s="3" t="n"/>
      <c r="G16" s="3" t="n"/>
      <c r="H16" s="9" t="inlineStr">
        <is>
          <t>Newer alternative to partitioning/Z-Ordering — flexible, incremental clustering on chosen columns without rewriting the whole table or fixed partition scheme.</t>
        </is>
      </c>
      <c r="I16" s="3" t="n"/>
    </row>
    <row r="17">
      <c r="A17" s="8" t="n">
        <v>10</v>
      </c>
      <c r="B17" s="3" t="inlineStr">
        <is>
          <t>Delta Optimization</t>
        </is>
      </c>
      <c r="C17" s="9" t="inlineStr">
        <is>
          <t>Bucketing</t>
        </is>
      </c>
      <c r="D17" s="3" t="inlineStr">
        <is>
          <t>Low</t>
        </is>
      </c>
      <c r="E17" s="3" t="inlineStr">
        <is>
          <t>Completed</t>
        </is>
      </c>
      <c r="F17" s="3" t="n"/>
      <c r="G17" s="3" t="n"/>
      <c r="H17" s="9" t="inlineStr">
        <is>
          <t>Pre-shuffles/organizes data into a fixed number of buckets by hash of a column to speed up joins/aggregations on that column; less relevant with Liquid Clustering/AQE in modern Databricks.</t>
        </is>
      </c>
      <c r="I17" s="3" t="n"/>
    </row>
    <row r="18">
      <c r="A18" s="8" t="n">
        <v>11</v>
      </c>
      <c r="B18" s="3" t="inlineStr">
        <is>
          <t>Delta Optimization</t>
        </is>
      </c>
      <c r="C18" s="9" t="inlineStr">
        <is>
          <t>Predictive Optimization</t>
        </is>
      </c>
      <c r="D18" s="3" t="inlineStr">
        <is>
          <t>Low</t>
        </is>
      </c>
      <c r="E18" s="3" t="inlineStr">
        <is>
          <t>Completed</t>
        </is>
      </c>
      <c r="F18" s="3" t="n"/>
      <c r="G18" s="3" t="n"/>
      <c r="H18" s="9" t="inlineStr">
        <is>
          <t>Databricks-managed feature that automatically runs OPTIMIZE/VACUUM/ANALYZE on Unity Catalog tables based on usage patterns, without manual scheduling.</t>
        </is>
      </c>
      <c r="I18" s="3" t="n"/>
    </row>
    <row r="19">
      <c r="A19" s="16" t="inlineStr">
        <is>
          <t>Query Engine Internals</t>
        </is>
      </c>
      <c r="B19" s="22" t="n"/>
      <c r="C19" s="22" t="n"/>
      <c r="D19" s="22" t="n"/>
      <c r="E19" s="22" t="n"/>
      <c r="F19" s="22" t="n"/>
      <c r="G19" s="22" t="n"/>
      <c r="H19" s="22" t="n"/>
      <c r="I19" s="23" t="n"/>
    </row>
    <row r="20">
      <c r="A20" s="8" t="n">
        <v>12</v>
      </c>
      <c r="B20" s="3" t="inlineStr">
        <is>
          <t>Query Engine Internals</t>
        </is>
      </c>
      <c r="C20" s="9" t="inlineStr">
        <is>
          <t>Catalyst Optimizer overview</t>
        </is>
      </c>
      <c r="D20" s="3" t="inlineStr">
        <is>
          <t>High</t>
        </is>
      </c>
      <c r="E20" s="3" t="inlineStr">
        <is>
          <t>Completed</t>
        </is>
      </c>
      <c r="F20" s="3" t="n"/>
      <c r="G20" s="3" t="n"/>
      <c r="H20" s="9" t="inlineStr">
        <is>
          <t>Spark's query optimizer: parses SQL/DataFrame code into an unresolved logical plan, resolves it, applies rule-based optimizations, generates physical plans, picks the best via cost model, then generates code (Tungsten).</t>
        </is>
      </c>
      <c r="I20" s="3" t="n"/>
    </row>
    <row r="21">
      <c r="A21" s="8" t="n">
        <v>13</v>
      </c>
      <c r="B21" s="3" t="inlineStr">
        <is>
          <t>Query Engine Internals</t>
        </is>
      </c>
      <c r="C21" s="9" t="inlineStr">
        <is>
          <t>Logical Plan</t>
        </is>
      </c>
      <c r="D21" s="3" t="inlineStr">
        <is>
          <t>Medium</t>
        </is>
      </c>
      <c r="E21" s="3" t="inlineStr">
        <is>
          <t>Completed</t>
        </is>
      </c>
      <c r="F21" s="3" t="n"/>
      <c r="G21" s="3" t="n"/>
      <c r="H21" s="9" t="inlineStr">
        <is>
          <t>Abstract, engine-independent representation of what the query should do (before deciding how) — unresolved then resolved/optimized logical plan stages.</t>
        </is>
      </c>
      <c r="I21" s="3" t="n"/>
    </row>
    <row r="22">
      <c r="A22" s="8" t="n">
        <v>14</v>
      </c>
      <c r="B22" s="3" t="inlineStr">
        <is>
          <t>Query Engine Internals</t>
        </is>
      </c>
      <c r="C22" s="9" t="inlineStr">
        <is>
          <t>Physical Plan</t>
        </is>
      </c>
      <c r="D22" s="3" t="inlineStr">
        <is>
          <t>Medium</t>
        </is>
      </c>
      <c r="E22" s="3" t="inlineStr">
        <is>
          <t>Completed</t>
        </is>
      </c>
      <c r="F22" s="3" t="n"/>
      <c r="G22" s="3" t="n"/>
      <c r="H22" s="9" t="inlineStr">
        <is>
          <t>Concrete execution strategy chosen by Catalyst (e.g. which join algorithm, scan type) from multiple candidate physical plans based on cost.</t>
        </is>
      </c>
      <c r="I22" s="3" t="n"/>
    </row>
    <row r="23" ht="24.75" customHeight="1">
      <c r="A23" s="8" t="n">
        <v>15</v>
      </c>
      <c r="B23" s="3" t="inlineStr">
        <is>
          <t>Query Engine Internals</t>
        </is>
      </c>
      <c r="C23" s="9" t="inlineStr">
        <is>
          <t>Adaptive Query Execution (AQE) in Databricks</t>
        </is>
      </c>
      <c r="D23" s="3" t="inlineStr">
        <is>
          <t>High</t>
        </is>
      </c>
      <c r="E23" s="3" t="inlineStr">
        <is>
          <t>Completed</t>
        </is>
      </c>
      <c r="F23" s="3" t="n"/>
      <c r="G23" s="3" t="n"/>
      <c r="H23" s="9" t="inlineStr">
        <is>
          <t>Same AQE as OSS Spark, enabled by default on Databricks: dynamic partition coalescing, join strategy switching, and skew handling at runtime based on actual stats.</t>
        </is>
      </c>
      <c r="I23" s="3" t="n"/>
    </row>
    <row r="24">
      <c r="A24" s="16" t="inlineStr">
        <is>
          <t>Lakeflow</t>
        </is>
      </c>
      <c r="B24" s="22" t="n"/>
      <c r="C24" s="22" t="n"/>
      <c r="D24" s="22" t="n"/>
      <c r="E24" s="22" t="n"/>
      <c r="F24" s="22" t="n"/>
      <c r="G24" s="22" t="n"/>
      <c r="H24" s="22" t="n"/>
      <c r="I24" s="23" t="n"/>
    </row>
    <row r="25">
      <c r="A25" s="8" t="n">
        <v>16</v>
      </c>
      <c r="B25" s="3" t="inlineStr">
        <is>
          <t>Lakeflow</t>
        </is>
      </c>
      <c r="C25" s="9" t="inlineStr">
        <is>
          <t>Lakeflow Declarative Pipelines (DLT) concepts</t>
        </is>
      </c>
      <c r="D25" s="3" t="inlineStr">
        <is>
          <t>High</t>
        </is>
      </c>
      <c r="E25" s="3" t="inlineStr">
        <is>
          <t>Completed</t>
        </is>
      </c>
      <c r="F25" s="3" t="n"/>
      <c r="G25" s="3" t="n"/>
      <c r="H25" s="9" t="inlineStr">
        <is>
          <t>Declarative framework (formerly Delta Live Tables) where you define tables/transformations and Databricks manages orchestration, dependency graph, incremental processing, and data quality checks.</t>
        </is>
      </c>
      <c r="I25" s="3" t="n"/>
    </row>
    <row r="26">
      <c r="A26" s="8" t="n">
        <v>17</v>
      </c>
      <c r="B26" s="3" t="inlineStr">
        <is>
          <t>Lakeflow</t>
        </is>
      </c>
      <c r="C26" s="9" t="inlineStr">
        <is>
          <t>Lakeflow Jobs orchestration</t>
        </is>
      </c>
      <c r="D26" s="3" t="inlineStr">
        <is>
          <t>Medium</t>
        </is>
      </c>
      <c r="E26" s="3" t="inlineStr">
        <is>
          <t>Completed</t>
        </is>
      </c>
      <c r="F26" s="3" t="n"/>
      <c r="G26" s="3" t="n"/>
      <c r="H26" s="9" t="inlineStr">
        <is>
          <t>Databricks-native orchestrator for scheduling and chaining notebooks/tasks/pipelines with dependencies, retries, alerts — alternative to external orchestrators like Airflow for Databricks-centric workflows.</t>
        </is>
      </c>
      <c r="I26" s="3" t="n"/>
    </row>
    <row r="27">
      <c r="A27" s="16" t="inlineStr">
        <is>
          <t>Medallion Architecture</t>
        </is>
      </c>
      <c r="B27" s="22" t="n"/>
      <c r="C27" s="22" t="n"/>
      <c r="D27" s="22" t="n"/>
      <c r="E27" s="22" t="n"/>
      <c r="F27" s="22" t="n"/>
      <c r="G27" s="22" t="n"/>
      <c r="H27" s="22" t="n"/>
      <c r="I27" s="23" t="n"/>
    </row>
    <row r="28">
      <c r="A28" s="8" t="n">
        <v>18</v>
      </c>
      <c r="B28" s="3" t="inlineStr">
        <is>
          <t>Medallion Architecture</t>
        </is>
      </c>
      <c r="C28" s="9" t="inlineStr">
        <is>
          <t>Bronze layer concepts</t>
        </is>
      </c>
      <c r="D28" s="3" t="inlineStr">
        <is>
          <t>High</t>
        </is>
      </c>
      <c r="E28" s="3" t="inlineStr">
        <is>
          <t>Completed</t>
        </is>
      </c>
      <c r="F28" s="3" t="n"/>
      <c r="G28" s="3" t="n"/>
      <c r="H28" s="9" t="inlineStr">
        <is>
          <t>Raw, ingested-as-is data from source systems, minimal transformation, includes audit/metadata columns — source of truth for reprocessing.</t>
        </is>
      </c>
      <c r="I28" s="3" t="n"/>
    </row>
    <row r="29">
      <c r="A29" s="8" t="n">
        <v>19</v>
      </c>
      <c r="B29" s="3" t="inlineStr">
        <is>
          <t>Medallion Architecture</t>
        </is>
      </c>
      <c r="C29" s="9" t="inlineStr">
        <is>
          <t>Silver layer concepts</t>
        </is>
      </c>
      <c r="D29" s="3" t="inlineStr">
        <is>
          <t>High</t>
        </is>
      </c>
      <c r="E29" s="3" t="inlineStr">
        <is>
          <t>Completed</t>
        </is>
      </c>
      <c r="F29" s="3" t="n"/>
      <c r="G29" s="3" t="n"/>
      <c r="H29" s="9" t="inlineStr">
        <is>
          <t>Cleaned, validated, deduplicated, conformed data — business-level entities with quality rules applied, joins across sources.</t>
        </is>
      </c>
      <c r="I29" s="3" t="n"/>
    </row>
    <row r="30">
      <c r="A30" s="8" t="n">
        <v>20</v>
      </c>
      <c r="B30" s="3" t="inlineStr">
        <is>
          <t>Medallion Architecture</t>
        </is>
      </c>
      <c r="C30" s="9" t="inlineStr">
        <is>
          <t>Gold layer concepts</t>
        </is>
      </c>
      <c r="D30" s="3" t="inlineStr">
        <is>
          <t>High</t>
        </is>
      </c>
      <c r="E30" s="3" t="inlineStr">
        <is>
          <t>Completed</t>
        </is>
      </c>
      <c r="F30" s="3" t="n"/>
      <c r="G30" s="3" t="n"/>
      <c r="H30" s="9" t="inlineStr">
        <is>
          <t>Curated, aggregated, business-ready tables (star schema/metrics) consumed directly by BI tools and downstream analytics.</t>
        </is>
      </c>
      <c r="I30" s="3" t="n"/>
    </row>
    <row r="31">
      <c r="A31" s="16" t="inlineStr">
        <is>
          <t>Data Ingestion (Important)</t>
        </is>
      </c>
      <c r="B31" s="22" t="n"/>
      <c r="C31" s="22" t="n"/>
      <c r="D31" s="22" t="n"/>
      <c r="E31" s="22" t="n"/>
      <c r="F31" s="22" t="n"/>
      <c r="G31" s="22" t="n"/>
      <c r="H31" s="22" t="n"/>
      <c r="I31" s="23" t="n"/>
    </row>
    <row r="32">
      <c r="A32" s="8" t="n">
        <v>21</v>
      </c>
      <c r="B32" s="3" t="inlineStr">
        <is>
          <t>Data Ingestion (Important)</t>
        </is>
      </c>
      <c r="C32" s="9" t="inlineStr">
        <is>
          <t>Auto Loader / incremental ingestion patterns</t>
        </is>
      </c>
      <c r="D32" s="3" t="inlineStr">
        <is>
          <t>High</t>
        </is>
      </c>
      <c r="E32" s="3" t="inlineStr">
        <is>
          <t>Completed</t>
        </is>
      </c>
      <c r="F32" s="3" t="n"/>
      <c r="G32" s="3" t="n"/>
      <c r="H32" s="9" t="inlineStr">
        <is>
          <t>Incrementally and efficiently processes new files landing in cloud storage using cloudFiles source, with schema inference/evolution and checkpointed exactly-once processing — avoids re-listing entire directories.</t>
        </is>
      </c>
      <c r="I32" s="3" t="n"/>
    </row>
    <row r="33">
      <c r="A33" s="8" t="n">
        <v>22</v>
      </c>
      <c r="B33" s="3" t="inlineStr">
        <is>
          <t>Data Ingestion (Important)</t>
        </is>
      </c>
      <c r="C33" s="9" t="inlineStr">
        <is>
          <t>Batch vs streaming ingestion in Databricks</t>
        </is>
      </c>
      <c r="D33" s="3" t="inlineStr">
        <is>
          <t>Medium</t>
        </is>
      </c>
      <c r="E33" s="3" t="inlineStr">
        <is>
          <t>Completed</t>
        </is>
      </c>
      <c r="F33" s="3" t="n"/>
      <c r="G33" s="3" t="n"/>
      <c r="H33" s="9" t="inlineStr">
        <is>
          <t>Batch: scheduled full/incremental reads (e.g. via ADF trigger + notebook). Streaming: Auto Loader/Structured Streaming continuously ingests new files/events with low latency.</t>
        </is>
      </c>
      <c r="I33" s="3" t="n"/>
    </row>
    <row r="34">
      <c r="A34" s="16" t="inlineStr">
        <is>
          <t>Governance &amp; Orchestration</t>
        </is>
      </c>
      <c r="B34" s="22" t="n"/>
      <c r="C34" s="22" t="n"/>
      <c r="D34" s="22" t="n"/>
      <c r="E34" s="22" t="n"/>
      <c r="F34" s="22" t="n"/>
      <c r="G34" s="22" t="n"/>
      <c r="H34" s="22" t="n"/>
      <c r="I34" s="23" t="n"/>
    </row>
    <row r="35" ht="23.85" customHeight="1">
      <c r="A35" s="8" t="n">
        <v>23</v>
      </c>
      <c r="B35" s="3" t="inlineStr">
        <is>
          <t>Governance &amp; Orchestration</t>
        </is>
      </c>
      <c r="C35" s="9" t="inlineStr">
        <is>
          <t>Unity Catalog (governance, access control, lineage)</t>
        </is>
      </c>
      <c r="D35" s="3" t="inlineStr">
        <is>
          <t>High</t>
        </is>
      </c>
      <c r="E35" s="3" t="inlineStr">
        <is>
          <t>Completed</t>
        </is>
      </c>
      <c r="F35" s="3" t="n"/>
      <c r="G35" s="3" t="n"/>
      <c r="H35" s="9" t="inlineStr">
        <is>
          <t>Centralized governance layer across workspaces: fine-grained access control (table/row/column level), automatic data lineage, unified catalog for all data/AI assets.</t>
        </is>
      </c>
      <c r="I35" s="3" t="n"/>
    </row>
    <row r="36">
      <c r="A36" s="8" t="n">
        <v>24</v>
      </c>
      <c r="B36" s="3" t="inlineStr">
        <is>
          <t>Governance &amp; Orchestration</t>
        </is>
      </c>
      <c r="C36" s="9" t="inlineStr">
        <is>
          <t>Databricks Workflows / Jobs orchestration</t>
        </is>
      </c>
      <c r="D36" s="3" t="inlineStr">
        <is>
          <t>Medium</t>
        </is>
      </c>
      <c r="E36" s="3" t="inlineStr">
        <is>
          <t>Completed</t>
        </is>
      </c>
      <c r="F36" s="3" t="n"/>
      <c r="G36" s="3" t="n"/>
      <c r="H36" s="9" t="inlineStr">
        <is>
          <t>Native scheduler for multi-task jobs with dependencies, retries, alerting, parameterization — commonly used to orchestrate Bronze-&gt;Silver-&gt;Gold notebook chains.</t>
        </is>
      </c>
      <c r="I36" s="3" t="n"/>
    </row>
    <row r="37" ht="23.85" customHeight="1">
      <c r="A37" s="8" t="n">
        <v>25</v>
      </c>
      <c r="B37" s="3" t="inlineStr">
        <is>
          <t>Governance &amp; Orchestration</t>
        </is>
      </c>
      <c r="C37" s="9" t="inlineStr">
        <is>
          <t>Delta Live Tables expectations (data quality rules)</t>
        </is>
      </c>
      <c r="D37" s="3" t="inlineStr">
        <is>
          <t>Medium</t>
        </is>
      </c>
      <c r="E37" s="3" t="inlineStr">
        <is>
          <t>Completed</t>
        </is>
      </c>
      <c r="F37" s="3" t="n"/>
      <c r="G37" s="3" t="n"/>
      <c r="H37" s="9" t="inlineStr">
        <is>
          <t>Declarative constraints (expect, expect_or_drop, expect_or_fail) applied to DLT tables to validate/quarantine/fail records that violate data quality rules, with metrics tracked automatically.</t>
        </is>
      </c>
      <c r="I37" s="3" t="n"/>
    </row>
    <row r="38">
      <c r="A38" s="8" t="n">
        <v>26</v>
      </c>
      <c r="B38" s="3" t="inlineStr">
        <is>
          <t>Governance &amp; Orchestration</t>
        </is>
      </c>
      <c r="C38" s="9" t="inlineStr">
        <is>
          <t>Repos &amp; Git integration / CI-CD basics</t>
        </is>
      </c>
      <c r="D38" s="3" t="inlineStr">
        <is>
          <t>Medium</t>
        </is>
      </c>
      <c r="E38" s="3" t="inlineStr">
        <is>
          <t>Completed</t>
        </is>
      </c>
      <c r="F38" s="3" t="n"/>
      <c r="G38" s="3" t="n"/>
      <c r="H38" s="9" t="inlineStr">
        <is>
          <t>Databricks Repos sync notebooks with Git providers for version control, branching, PR-based review; combined with CI/CD (Azure DevOps/GitHub Actions) to deploy code/jobs across environments.</t>
        </is>
      </c>
      <c r="I38" s="3" t="n"/>
    </row>
    <row r="39">
      <c r="A39" s="8" t="n">
        <v>27</v>
      </c>
      <c r="B39" s="3" t="inlineStr">
        <is>
          <t>Governance &amp; Orchestration</t>
        </is>
      </c>
      <c r="C39" s="9" t="inlineStr">
        <is>
          <t>Cluster Policies &amp; Photon engine</t>
        </is>
      </c>
      <c r="D39" s="3" t="inlineStr">
        <is>
          <t>Medium</t>
        </is>
      </c>
      <c r="E39" s="3" t="inlineStr">
        <is>
          <t>Completed</t>
        </is>
      </c>
      <c r="F39" s="3" t="n"/>
      <c r="G39" s="3" t="n"/>
      <c r="H39" s="9" t="inlineStr">
        <is>
          <t>Cluster policies restrict/standardize cluster configs (cost control, compliance). Photon is Databricks' native vectorized query engine (C++ based) that accelerates SQL/DataFrame workloads.</t>
        </is>
      </c>
      <c r="I39" s="3" t="n"/>
    </row>
    <row r="40">
      <c r="A40" s="8" t="n">
        <v>28</v>
      </c>
      <c r="B40" s="3" t="inlineStr">
        <is>
          <t>Governance &amp; Orchestration</t>
        </is>
      </c>
      <c r="C40" s="9" t="inlineStr">
        <is>
          <t>Delta Sharing</t>
        </is>
      </c>
      <c r="D40" s="3" t="inlineStr">
        <is>
          <t>Low</t>
        </is>
      </c>
      <c r="E40" s="3" t="inlineStr">
        <is>
          <t>Completed</t>
        </is>
      </c>
      <c r="F40" s="3" t="n"/>
      <c r="G40" s="3" t="n"/>
      <c r="H40" s="9" t="inlineStr">
        <is>
          <t>Open protocol to securely share live Delta tables across organizations/platforms without copying data or vendor lock-in.</t>
        </is>
      </c>
      <c r="I40" s="3" t="n"/>
    </row>
    <row r="41">
      <c r="A41" s="8" t="n">
        <v>29</v>
      </c>
      <c r="B41" s="3" t="inlineStr">
        <is>
          <t>Governance &amp; Orchestration</t>
        </is>
      </c>
      <c r="C41" s="9" t="inlineStr">
        <is>
          <t>Secrets management (Key Vault integration)</t>
        </is>
      </c>
      <c r="D41" s="3" t="inlineStr">
        <is>
          <t>Medium</t>
        </is>
      </c>
      <c r="E41" s="3" t="inlineStr">
        <is>
          <t>Completed</t>
        </is>
      </c>
      <c r="F41" s="3" t="n"/>
      <c r="G41" s="3" t="n"/>
      <c r="H41" s="9" t="inlineStr">
        <is>
          <t>Databricks secret scopes backed by Azure Key Vault store credentials (connection strings, API keys) securely, referenced in notebooks without hardcoding.</t>
        </is>
      </c>
      <c r="I41" s="3" t="n"/>
    </row>
    <row r="42"/>
    <row r="43" ht="30" customHeight="1">
      <c r="A43" s="17" t="inlineStr">
        <is>
          <t>EXAMPLE (for reference only — edit/delete before use): Topic Area: Delta Optimization | Subtopic: OPTIMIZE (compaction / Z-Ordering) | Priority: High | Status: Not Started | Notes: Plan to test OPTIMIZE + ZORDER on a sample gold table this week.</t>
        </is>
      </c>
    </row>
  </sheetData>
  <mergeCells count="11">
    <mergeCell ref="A43:I43"/>
    <mergeCell ref="A19:I19"/>
    <mergeCell ref="A2:I2"/>
    <mergeCell ref="A5:I5"/>
    <mergeCell ref="A13:I13"/>
    <mergeCell ref="A1:I1"/>
    <mergeCell ref="A9:I9"/>
    <mergeCell ref="A27:I27"/>
    <mergeCell ref="A31:I31"/>
    <mergeCell ref="A34:I34"/>
    <mergeCell ref="A24:I24"/>
  </mergeCells>
  <conditionalFormatting sqref="E5:E41">
    <cfRule type="expression" priority="2" dxfId="0">
      <formula>$E5="Not Started"</formula>
    </cfRule>
    <cfRule type="expression" priority="3" dxfId="4">
      <formula>$E5="In Progress"</formula>
    </cfRule>
    <cfRule type="expression" priority="4" dxfId="1">
      <formula>$E5="Completed"</formula>
    </cfRule>
    <cfRule type="expression" priority="5" dxfId="2">
      <formula>$E5="Revise Again"</formula>
    </cfRule>
    <cfRule type="cellIs" priority="6" operator="equal" dxfId="0">
      <formula>"Not Started"</formula>
    </cfRule>
    <cfRule type="cellIs" priority="7" operator="equal" dxfId="4">
      <formula>"In Progress"</formula>
    </cfRule>
    <cfRule type="cellIs" priority="8" operator="equal" dxfId="1">
      <formula>"Completed"</formula>
    </cfRule>
    <cfRule type="cellIs" priority="9" operator="equal" dxfId="2">
      <formula>"Revise Again"</formula>
    </cfRule>
  </conditionalFormatting>
  <dataValidations count="2">
    <dataValidation sqref="E5:E41" showDropDown="0" showInputMessage="0" showErrorMessage="0" allowBlank="1" error="Choose a value from the list" prompt="Select status" type="list">
      <formula1>"Not Started,In Progress,Completed,Revise Again"</formula1>
      <formula2>0</formula2>
    </dataValidation>
    <dataValidation sqref="D5:D41" showDropDown="0" showInputMessage="0" showErrorMessage="0" allowBlank="1" type="list">
      <formula1>"High,Medium,Low"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zoomScaleNormal="100" workbookViewId="0">
      <pane ySplit="4" topLeftCell="A5" activePane="bottomLeft" state="frozen"/>
      <selection pane="bottomLeft" activeCell="A15" sqref="A15:I15"/>
    </sheetView>
  </sheetViews>
  <sheetFormatPr baseColWidth="8" defaultColWidth="8.7109375" defaultRowHeight="15"/>
  <cols>
    <col width="5" customWidth="1" min="1" max="1"/>
    <col width="22" customWidth="1" min="2" max="2"/>
    <col width="60.5703125" customWidth="1" min="3" max="3"/>
    <col width="10" customWidth="1" min="4" max="4"/>
    <col width="14" customWidth="1" min="5" max="5"/>
    <col width="13" customWidth="1" min="6" max="6"/>
    <col width="15" customWidth="1" min="7" max="7"/>
    <col width="40" customWidth="1" min="8" max="8"/>
    <col width="22" customWidth="1" min="9" max="9"/>
  </cols>
  <sheetData>
    <row r="1" ht="25.5" customHeight="1">
      <c r="A1" s="18" t="inlineStr">
        <is>
          <t>Project</t>
        </is>
      </c>
    </row>
    <row r="2" ht="18" customHeight="1">
      <c r="A2" s="20" t="inlineStr">
        <is>
          <t>End-to-end ingestion pipeline: SQL Server -&gt; ADF -&gt; ADLS Gen2 -&gt; Databricks -&gt; Bronze/Silver/Gold</t>
        </is>
      </c>
    </row>
    <row r="4" ht="19.5" customHeight="1">
      <c r="A4" s="1" t="inlineStr">
        <is>
          <t>#</t>
        </is>
      </c>
      <c r="B4" s="1" t="inlineStr">
        <is>
          <t>Topic Area</t>
        </is>
      </c>
      <c r="C4" s="1" t="inlineStr">
        <is>
          <t>Subtopic / Concept</t>
        </is>
      </c>
      <c r="D4" s="1" t="inlineStr">
        <is>
          <t>Priority</t>
        </is>
      </c>
      <c r="E4" s="1" t="inlineStr">
        <is>
          <t>Status</t>
        </is>
      </c>
      <c r="F4" s="1" t="inlineStr">
        <is>
          <t>Date Started</t>
        </is>
      </c>
      <c r="G4" s="1" t="inlineStr">
        <is>
          <t>Date Completed</t>
        </is>
      </c>
      <c r="H4" s="1" t="inlineStr">
        <is>
          <t>Notes / Key Learnings</t>
        </is>
      </c>
      <c r="I4" s="1" t="inlineStr">
        <is>
          <t>Resource / Link</t>
        </is>
      </c>
    </row>
    <row r="5">
      <c r="A5" s="16" t="inlineStr">
        <is>
          <t>Pipeline Overview</t>
        </is>
      </c>
      <c r="B5" s="22" t="n"/>
      <c r="C5" s="22" t="n"/>
      <c r="D5" s="22" t="n"/>
      <c r="E5" s="22" t="n"/>
      <c r="F5" s="22" t="n"/>
      <c r="G5" s="22" t="n"/>
      <c r="H5" s="22" t="n"/>
      <c r="I5" s="23" t="n"/>
    </row>
    <row r="6" ht="23.85" customHeight="1">
      <c r="A6" s="8" t="n">
        <v>1</v>
      </c>
      <c r="B6" s="3" t="inlineStr">
        <is>
          <t>Pipeline Overview</t>
        </is>
      </c>
      <c r="C6" s="9" t="inlineStr">
        <is>
          <t>SQL Server -&gt; ADF -&gt; ADLS Gen2 -&gt; Databricks -&gt; Bronze -&gt; Silver -&gt; Gold</t>
        </is>
      </c>
      <c r="D6" s="3" t="inlineStr">
        <is>
          <t>High</t>
        </is>
      </c>
      <c r="E6" s="3" t="inlineStr">
        <is>
          <t>Completed</t>
        </is>
      </c>
      <c r="F6" s="3" t="n"/>
      <c r="G6" s="3" t="n"/>
      <c r="H6" s="9" t="inlineStr">
        <is>
          <t>End-to-end flow: ADF extracts from SQL Server into raw zone in ADLS Gen2 -&gt; Databricks ingests to Bronze (raw Delta) -&gt; cleans/dedupes to Silver -&gt; aggregates/models to Gold for BI.</t>
        </is>
      </c>
      <c r="I6" s="3" t="n"/>
    </row>
    <row r="7">
      <c r="A7" s="16" t="inlineStr">
        <is>
          <t>Source &amp; Orchestration</t>
        </is>
      </c>
      <c r="B7" s="22" t="n"/>
      <c r="C7" s="22" t="n"/>
      <c r="D7" s="22" t="n"/>
      <c r="E7" s="22" t="n"/>
      <c r="F7" s="22" t="n"/>
      <c r="G7" s="22" t="n"/>
      <c r="H7" s="22" t="n"/>
      <c r="I7" s="23" t="n"/>
    </row>
    <row r="8" ht="25.5" customHeight="1">
      <c r="A8" s="8" t="n">
        <v>2</v>
      </c>
      <c r="B8" s="3" t="inlineStr">
        <is>
          <t>Source &amp; Orchestration</t>
        </is>
      </c>
      <c r="C8" s="9" t="inlineStr">
        <is>
          <t>ADF pipeline design &amp; linked services</t>
        </is>
      </c>
      <c r="D8" s="3" t="inlineStr">
        <is>
          <t>High</t>
        </is>
      </c>
      <c r="E8" s="3" t="inlineStr">
        <is>
          <t>Completed</t>
        </is>
      </c>
      <c r="F8" s="3" t="n"/>
      <c r="G8" s="3" t="n"/>
      <c r="H8" s="9" t="inlineStr">
        <is>
          <t>Linked services define connections to source/sink (SQL Server, ADLS); pipelines chain activities (Copy, Databricks notebook, lookup) into a repeatable workflow.</t>
        </is>
      </c>
      <c r="I8" s="3" t="n"/>
    </row>
    <row r="9" ht="21" customHeight="1">
      <c r="A9" s="8" t="n">
        <v>3</v>
      </c>
      <c r="B9" s="3" t="inlineStr">
        <is>
          <t>Source &amp; Orchestration</t>
        </is>
      </c>
      <c r="C9" s="9" t="inlineStr">
        <is>
          <t>ADF orchestration (triggers, pipelines, activities)</t>
        </is>
      </c>
      <c r="D9" s="3" t="inlineStr">
        <is>
          <t>High</t>
        </is>
      </c>
      <c r="E9" s="3" t="inlineStr">
        <is>
          <t>Completed</t>
        </is>
      </c>
      <c r="F9" s="3" t="n"/>
      <c r="G9" s="3" t="n"/>
      <c r="H9" s="9" t="inlineStr">
        <is>
          <t>Triggers: schedule, tumbling window, or event-based pipeline runs. Pipelines group activities (Copy, ExecuteNotebook, ForEach, If Condition) into a logical unit of work.</t>
        </is>
      </c>
      <c r="I9" s="3" t="n"/>
    </row>
    <row r="10">
      <c r="A10" s="8" t="n">
        <v>4</v>
      </c>
      <c r="B10" s="3" t="inlineStr">
        <is>
          <t>Source &amp; Orchestration</t>
        </is>
      </c>
      <c r="C10" s="9" t="inlineStr">
        <is>
          <t>Landing raw data into ADLS Gen2</t>
        </is>
      </c>
      <c r="D10" s="3" t="inlineStr">
        <is>
          <t>Medium</t>
        </is>
      </c>
      <c r="E10" s="3" t="inlineStr">
        <is>
          <t>Completed</t>
        </is>
      </c>
      <c r="F10" s="3" t="n"/>
      <c r="G10" s="3" t="n"/>
      <c r="H10" s="9" t="inlineStr">
        <is>
          <t>ADF Copy activity lands source extracts as files (Parquet/CSV) into a raw/landing zone in ADLS Gen2, partitioned by date/batch for traceability.</t>
        </is>
      </c>
      <c r="I10" s="3" t="n"/>
    </row>
    <row r="11">
      <c r="A11" s="16" t="inlineStr">
        <is>
          <t>Load Patterns</t>
        </is>
      </c>
      <c r="B11" s="22" t="n"/>
      <c r="C11" s="22" t="n"/>
      <c r="D11" s="22" t="n"/>
      <c r="E11" s="22" t="n"/>
      <c r="F11" s="22" t="n"/>
      <c r="G11" s="22" t="n"/>
      <c r="H11" s="22" t="n"/>
      <c r="I11" s="23" t="n"/>
    </row>
    <row r="12">
      <c r="A12" s="8" t="n">
        <v>5</v>
      </c>
      <c r="B12" s="3" t="inlineStr">
        <is>
          <t>Load Patterns</t>
        </is>
      </c>
      <c r="C12" s="9" t="inlineStr">
        <is>
          <t>Full Load implementation</t>
        </is>
      </c>
      <c r="D12" s="3" t="inlineStr">
        <is>
          <t>Medium</t>
        </is>
      </c>
      <c r="E12" s="3" t="inlineStr">
        <is>
          <t>Completed</t>
        </is>
      </c>
      <c r="F12" s="3" t="n"/>
      <c r="G12" s="3" t="n"/>
      <c r="H12" s="9" t="inlineStr">
        <is>
          <t>Truncate/reload entire source table each run — simplest, used for small dimension/reference tables.</t>
        </is>
      </c>
      <c r="I12" s="3" t="n"/>
    </row>
    <row r="13">
      <c r="A13" s="8" t="n">
        <v>6</v>
      </c>
      <c r="B13" s="3" t="inlineStr">
        <is>
          <t>Load Patterns</t>
        </is>
      </c>
      <c r="C13" s="9" t="inlineStr">
        <is>
          <t>Incremental Load implementation (watermarking)</t>
        </is>
      </c>
      <c r="D13" s="3" t="inlineStr">
        <is>
          <t>High</t>
        </is>
      </c>
      <c r="E13" s="3" t="inlineStr">
        <is>
          <t>Completed</t>
        </is>
      </c>
      <c r="F13" s="3" t="n"/>
      <c r="G13" s="3" t="n"/>
      <c r="H13" s="9" t="inlineStr">
        <is>
          <t>Track a watermark (max updated_at or ID) per table in a control table; each run pulls only rows greater than the last watermark and updates it after success.</t>
        </is>
      </c>
      <c r="I13" s="3" t="n"/>
    </row>
    <row r="14">
      <c r="A14" s="8" t="n">
        <v>7</v>
      </c>
      <c r="B14" s="3" t="inlineStr">
        <is>
          <t>Load Patterns</t>
        </is>
      </c>
      <c r="C14" s="9" t="inlineStr">
        <is>
          <t>Metadata-driven ingestion framework</t>
        </is>
      </c>
      <c r="D14" s="3" t="inlineStr">
        <is>
          <t>High</t>
        </is>
      </c>
      <c r="E14" s="3" t="inlineStr">
        <is>
          <t>Completed</t>
        </is>
      </c>
      <c r="F14" s="3" t="n"/>
      <c r="G14" s="3" t="n"/>
      <c r="H14" s="9" t="inlineStr">
        <is>
          <t>A control/config table (source, target, watermark column, load type) drives a generic ADF pipeline via lookup + ForEach, so new sources are onboarded by adding config rows, not new pipelines.</t>
        </is>
      </c>
      <c r="I14" s="3" t="n"/>
    </row>
    <row r="15">
      <c r="A15" s="16" t="inlineStr">
        <is>
          <t>Bronze Layer</t>
        </is>
      </c>
      <c r="B15" s="22" t="n"/>
      <c r="C15" s="22" t="n"/>
      <c r="D15" s="22" t="n"/>
      <c r="E15" s="22" t="n"/>
      <c r="F15" s="22" t="n"/>
      <c r="G15" s="22" t="n"/>
      <c r="H15" s="22" t="n"/>
      <c r="I15" s="23" t="n"/>
    </row>
    <row r="16">
      <c r="A16" s="8" t="n">
        <v>8</v>
      </c>
      <c r="B16" s="3" t="inlineStr">
        <is>
          <t>Bronze Layer</t>
        </is>
      </c>
      <c r="C16" s="9" t="inlineStr">
        <is>
          <t>Raw data ingestion into Delta (Bronze)</t>
        </is>
      </c>
      <c r="D16" s="3" t="inlineStr">
        <is>
          <t>High</t>
        </is>
      </c>
      <c r="E16" s="3" t="inlineStr">
        <is>
          <t>Completed</t>
        </is>
      </c>
      <c r="F16" s="3" t="n"/>
      <c r="G16" s="3" t="n"/>
      <c r="H16" s="9" t="inlineStr">
        <is>
          <t>Land source files as-is into Delta format Bronze tables, preserving original structure/values for full reprocessing capability.</t>
        </is>
      </c>
      <c r="I16" s="3" t="n"/>
    </row>
    <row r="17">
      <c r="A17" s="8" t="n">
        <v>9</v>
      </c>
      <c r="B17" s="3" t="inlineStr">
        <is>
          <t>Bronze Layer</t>
        </is>
      </c>
      <c r="C17" s="9" t="inlineStr">
        <is>
          <t>Audit columns (load timestamp, source, batch id)</t>
        </is>
      </c>
      <c r="D17" s="3" t="inlineStr">
        <is>
          <t>High</t>
        </is>
      </c>
      <c r="E17" s="3" t="inlineStr">
        <is>
          <t>Completed</t>
        </is>
      </c>
      <c r="F17" s="3" t="n"/>
      <c r="G17" s="3" t="n"/>
      <c r="H17" s="9" t="inlineStr">
        <is>
          <t>Standard metadata columns added at ingestion (_load_ts, _source_system, _batch_id, _file_name) for traceability, debugging, and reprocessing.</t>
        </is>
      </c>
      <c r="I17" s="3" t="n"/>
    </row>
    <row r="18">
      <c r="A18" s="8" t="n">
        <v>10</v>
      </c>
      <c r="B18" s="3" t="inlineStr">
        <is>
          <t>Bronze Layer</t>
        </is>
      </c>
      <c r="C18" s="9" t="inlineStr">
        <is>
          <t>Logging &amp; error handling during ingestion</t>
        </is>
      </c>
      <c r="D18" s="3" t="inlineStr">
        <is>
          <t>High</t>
        </is>
      </c>
      <c r="E18" s="3" t="inlineStr">
        <is>
          <t>Completed</t>
        </is>
      </c>
      <c r="F18" s="3" t="n"/>
      <c r="G18" s="3" t="n"/>
      <c r="H18" s="9" t="inlineStr">
        <is>
          <t>Wrap ingestion in try/except with structured logging (row counts, failures) to a log table/Log Analytics; bad records routed to a quarantine table rather than failing the whole pipeline.</t>
        </is>
      </c>
      <c r="I18" s="3" t="n"/>
    </row>
    <row r="19">
      <c r="A19" s="16" t="inlineStr">
        <is>
          <t>Silver Layer</t>
        </is>
      </c>
      <c r="B19" s="22" t="n"/>
      <c r="C19" s="22" t="n"/>
      <c r="D19" s="22" t="n"/>
      <c r="E19" s="22" t="n"/>
      <c r="F19" s="22" t="n"/>
      <c r="G19" s="22" t="n"/>
      <c r="H19" s="22" t="n"/>
      <c r="I19" s="23" t="n"/>
    </row>
    <row r="20">
      <c r="A20" s="8" t="n">
        <v>11</v>
      </c>
      <c r="B20" s="3" t="inlineStr">
        <is>
          <t>Silver Layer</t>
        </is>
      </c>
      <c r="C20" s="9" t="inlineStr">
        <is>
          <t>Data quality checks &amp; validation rules</t>
        </is>
      </c>
      <c r="D20" s="3" t="inlineStr">
        <is>
          <t>High</t>
        </is>
      </c>
      <c r="E20" s="3" t="inlineStr">
        <is>
          <t>Completed</t>
        </is>
      </c>
      <c r="F20" s="3" t="n"/>
      <c r="G20" s="3" t="n"/>
      <c r="H20" s="9" t="inlineStr">
        <is>
          <t>Silver-layer checks: null checks on required fields, type/range validation, referential integrity, row count reconciliation — failing records quarantined, passing records promoted.</t>
        </is>
      </c>
      <c r="I20" s="3" t="n"/>
    </row>
    <row r="21">
      <c r="A21" s="8" t="n">
        <v>12</v>
      </c>
      <c r="B21" s="3" t="inlineStr">
        <is>
          <t>Silver Layer</t>
        </is>
      </c>
      <c r="C21" s="9" t="inlineStr">
        <is>
          <t>Deduplication logic</t>
        </is>
      </c>
      <c r="D21" s="3" t="inlineStr">
        <is>
          <t>High</t>
        </is>
      </c>
      <c r="E21" s="3" t="inlineStr">
        <is>
          <t>Completed</t>
        </is>
      </c>
      <c r="F21" s="3" t="n"/>
      <c r="G21" s="3" t="n"/>
      <c r="H21" s="9" t="inlineStr">
        <is>
          <t>ROW_NUMBER() OVER(PARTITION BY business_key ORDER BY updated_at DESC)=1 to keep latest record per key; or dropDuplicates() with a defined key set.</t>
        </is>
      </c>
      <c r="I21" s="3" t="n"/>
    </row>
    <row r="22">
      <c r="A22" s="8" t="n">
        <v>13</v>
      </c>
      <c r="B22" s="3" t="inlineStr">
        <is>
          <t>Silver Layer</t>
        </is>
      </c>
      <c r="C22" s="9" t="inlineStr">
        <is>
          <t>SCD Type 2 implementation</t>
        </is>
      </c>
      <c r="D22" s="3" t="inlineStr">
        <is>
          <t>High</t>
        </is>
      </c>
      <c r="E22" s="3" t="inlineStr">
        <is>
          <t>Completed</t>
        </is>
      </c>
      <c r="F22" s="3" t="n"/>
      <c r="G22" s="3" t="n"/>
      <c r="H22" s="9" t="inlineStr">
        <is>
          <t>MERGE-based pattern: expire matched-but-changed current rows (set end_date/is_current=0), insert new versions with surrogate key, effective_start_date, is_current=1.</t>
        </is>
      </c>
      <c r="I22" s="3" t="n"/>
    </row>
    <row r="23">
      <c r="A23" s="8" t="n">
        <v>14</v>
      </c>
      <c r="B23" s="3" t="inlineStr">
        <is>
          <t>Silver Layer</t>
        </is>
      </c>
      <c r="C23" s="9" t="inlineStr">
        <is>
          <t>Delta MERGE for upserts</t>
        </is>
      </c>
      <c r="D23" s="3" t="inlineStr">
        <is>
          <t>High</t>
        </is>
      </c>
      <c r="E23" s="3" t="inlineStr">
        <is>
          <t>Completed</t>
        </is>
      </c>
      <c r="F23" s="3" t="n"/>
      <c r="G23" s="3" t="n"/>
      <c r="H23" s="9" t="inlineStr">
        <is>
          <t>MERGE INTO target USING source ON key WHEN MATCHED THEN UPDATE WHEN NOT MATCHED THEN INSERT — core mechanism for Silver upserts and SCD2 in Delta.</t>
        </is>
      </c>
      <c r="I23" s="3" t="n"/>
    </row>
    <row r="24">
      <c r="A24" s="16" t="inlineStr">
        <is>
          <t>Gold Layer</t>
        </is>
      </c>
      <c r="B24" s="22" t="n"/>
      <c r="C24" s="22" t="n"/>
      <c r="D24" s="22" t="n"/>
      <c r="E24" s="22" t="n"/>
      <c r="F24" s="22" t="n"/>
      <c r="G24" s="22" t="n"/>
      <c r="H24" s="22" t="n"/>
      <c r="I24" s="23" t="n"/>
    </row>
    <row r="25">
      <c r="A25" s="8" t="n">
        <v>15</v>
      </c>
      <c r="B25" s="3" t="inlineStr">
        <is>
          <t>Gold Layer</t>
        </is>
      </c>
      <c r="C25" s="9" t="inlineStr">
        <is>
          <t>Curated / aggregated business tables</t>
        </is>
      </c>
      <c r="D25" s="3" t="inlineStr">
        <is>
          <t>Medium</t>
        </is>
      </c>
      <c r="E25" s="3" t="inlineStr">
        <is>
          <t>Completed</t>
        </is>
      </c>
      <c r="F25" s="3" t="n"/>
      <c r="G25" s="3" t="n"/>
      <c r="H25" s="9" t="inlineStr">
        <is>
          <t>Gold layer builds business-facing aggregates/metrics (e.g. daily sales by region) joining Silver tables, ready for direct BI consumption.</t>
        </is>
      </c>
      <c r="I25" s="3" t="n"/>
    </row>
    <row r="26">
      <c r="A26" s="8" t="n">
        <v>16</v>
      </c>
      <c r="B26" s="3" t="inlineStr">
        <is>
          <t>Gold Layer</t>
        </is>
      </c>
      <c r="C26" s="9" t="inlineStr">
        <is>
          <t>Star schema modeling in Gold layer</t>
        </is>
      </c>
      <c r="D26" s="3" t="inlineStr">
        <is>
          <t>High</t>
        </is>
      </c>
      <c r="E26" s="3" t="inlineStr">
        <is>
          <t>Completed</t>
        </is>
      </c>
      <c r="F26" s="3" t="n"/>
      <c r="G26" s="3" t="n"/>
      <c r="H26" s="9" t="inlineStr">
        <is>
          <t>Gold layer organized as fact + dimension tables optimized for BI tool query performance and business-friendly naming.</t>
        </is>
      </c>
      <c r="I26" s="3" t="n"/>
    </row>
    <row r="27">
      <c r="A27" s="16" t="inlineStr">
        <is>
          <t>Cross-Cutting Concerns</t>
        </is>
      </c>
      <c r="B27" s="22" t="n"/>
      <c r="C27" s="22" t="n"/>
      <c r="D27" s="22" t="n"/>
      <c r="E27" s="22" t="n"/>
      <c r="F27" s="22" t="n"/>
      <c r="G27" s="22" t="n"/>
      <c r="H27" s="22" t="n"/>
      <c r="I27" s="23" t="n"/>
    </row>
    <row r="28">
      <c r="A28" s="8" t="n">
        <v>17</v>
      </c>
      <c r="B28" s="3" t="inlineStr">
        <is>
          <t>Cross-Cutting Concerns</t>
        </is>
      </c>
      <c r="C28" s="9" t="inlineStr">
        <is>
          <t>End-to-end error handling strategy</t>
        </is>
      </c>
      <c r="D28" s="3" t="inlineStr">
        <is>
          <t>High</t>
        </is>
      </c>
      <c r="E28" s="3" t="inlineStr">
        <is>
          <t>Completed</t>
        </is>
      </c>
      <c r="F28" s="3" t="n"/>
      <c r="G28" s="3" t="n"/>
      <c r="H28" s="9" t="inlineStr">
        <is>
          <t>Layered approach: retries for transient failures, try/except with quarantine tables for bad data, pipeline-level alerting on failure, idempotent reruns.</t>
        </is>
      </c>
      <c r="I28" s="3" t="n"/>
    </row>
    <row r="29">
      <c r="A29" s="8" t="n">
        <v>18</v>
      </c>
      <c r="B29" s="3" t="inlineStr">
        <is>
          <t>Cross-Cutting Concerns</t>
        </is>
      </c>
      <c r="C29" s="9" t="inlineStr">
        <is>
          <t>Centralized logging framework</t>
        </is>
      </c>
      <c r="D29" s="3" t="inlineStr">
        <is>
          <t>Medium</t>
        </is>
      </c>
      <c r="E29" s="3" t="inlineStr">
        <is>
          <t>Completed</t>
        </is>
      </c>
      <c r="F29" s="3" t="n"/>
      <c r="G29" s="3" t="n"/>
      <c r="H29" s="9" t="inlineStr">
        <is>
          <t>Common logging function/utility used across notebooks writing structured logs (pipeline, status, row counts, error message, timestamp) to a shared log table or Log Analytics workspace.</t>
        </is>
      </c>
      <c r="I29" s="3" t="n"/>
    </row>
    <row r="30">
      <c r="A30" s="8" t="n">
        <v>19</v>
      </c>
      <c r="B30" s="3" t="inlineStr">
        <is>
          <t>Cross-Cutting Concerns</t>
        </is>
      </c>
      <c r="C30" s="9" t="inlineStr">
        <is>
          <t>Audit column standards across layers</t>
        </is>
      </c>
      <c r="D30" s="3" t="inlineStr">
        <is>
          <t>Medium</t>
        </is>
      </c>
      <c r="E30" s="3" t="inlineStr">
        <is>
          <t>Completed</t>
        </is>
      </c>
      <c r="F30" s="3" t="n"/>
      <c r="G30" s="3" t="n"/>
      <c r="H30" s="9" t="inlineStr">
        <is>
          <t>Consistent metadata columns (_load_ts, _source_system, _batch_id, _is_current, _updated_ts) carried and enriched from Bronze through Gold for lineage and debugging.</t>
        </is>
      </c>
      <c r="I30" s="3" t="n"/>
    </row>
    <row r="31">
      <c r="A31" s="8" t="n">
        <v>20</v>
      </c>
      <c r="B31" s="3" t="inlineStr">
        <is>
          <t>Cross-Cutting Concerns</t>
        </is>
      </c>
      <c r="C31" s="9" t="inlineStr">
        <is>
          <t>Schema drift / schema evolution handling</t>
        </is>
      </c>
      <c r="D31" s="3" t="inlineStr">
        <is>
          <t>High</t>
        </is>
      </c>
      <c r="E31" s="3" t="inlineStr">
        <is>
          <t>Completed</t>
        </is>
      </c>
      <c r="F31" s="3" t="n"/>
      <c r="G31" s="3" t="n"/>
      <c r="H31" s="9" t="inlineStr">
        <is>
          <t>Auto Loader/Delta mergeSchema handles new columns automatically; alerting on unexpected type changes or dropped columns to avoid silent data loss.</t>
        </is>
      </c>
      <c r="I31" s="3" t="n"/>
    </row>
    <row r="32">
      <c r="A32" s="8" t="n">
        <v>21</v>
      </c>
      <c r="B32" s="3" t="inlineStr">
        <is>
          <t>Cross-Cutting Concerns</t>
        </is>
      </c>
      <c r="C32" s="9" t="inlineStr">
        <is>
          <t>Parameterization &amp; dynamic pipelines in ADF</t>
        </is>
      </c>
      <c r="D32" s="3" t="inlineStr">
        <is>
          <t>High</t>
        </is>
      </c>
      <c r="E32" s="3" t="inlineStr">
        <is>
          <t>Completed</t>
        </is>
      </c>
      <c r="F32" s="3" t="n"/>
      <c r="G32" s="3" t="n"/>
      <c r="H32" s="9" t="inlineStr">
        <is>
          <t>Pipeline/dataset parameters + lookup activities allow one generic pipeline to process many tables/sources driven by a config table, avoiding pipeline sprawl.</t>
        </is>
      </c>
      <c r="I32" s="3" t="n"/>
    </row>
    <row r="33" ht="23.85" customHeight="1">
      <c r="A33" s="8" t="n">
        <v>22</v>
      </c>
      <c r="B33" s="3" t="inlineStr">
        <is>
          <t>Cross-Cutting Concerns</t>
        </is>
      </c>
      <c r="C33" s="9" t="inlineStr">
        <is>
          <t>Monitoring &amp; alerting (Azure Monitor, Log Analytics)</t>
        </is>
      </c>
      <c r="D33" s="3" t="inlineStr">
        <is>
          <t>Medium</t>
        </is>
      </c>
      <c r="E33" s="3" t="inlineStr">
        <is>
          <t>Completed</t>
        </is>
      </c>
      <c r="F33" s="3" t="n"/>
      <c r="G33" s="3" t="n"/>
      <c r="H33" s="9" t="inlineStr">
        <is>
          <t>ADF/Databricks metrics and logs pushed to Log Analytics; alert rules on pipeline failures, SLA breaches, or data quality thresholds notify via email/Teams.</t>
        </is>
      </c>
      <c r="I33" s="3" t="n"/>
    </row>
    <row r="34" ht="23.85" customFormat="1" customHeight="1" s="15">
      <c r="A34" s="12" t="n">
        <v>23</v>
      </c>
      <c r="B34" s="13" t="inlineStr">
        <is>
          <t>Cross-Cutting Concerns</t>
        </is>
      </c>
      <c r="C34" s="14" t="inlineStr">
        <is>
          <t>Secrets management (Azure Key Vault) in ADF/Databricks</t>
        </is>
      </c>
      <c r="D34" s="13" t="inlineStr">
        <is>
          <t>Medium</t>
        </is>
      </c>
      <c r="E34" s="13" t="inlineStr">
        <is>
          <t>Completed</t>
        </is>
      </c>
      <c r="F34" s="13" t="n"/>
      <c r="G34" s="13" t="n"/>
      <c r="H34" s="14" t="inlineStr">
        <is>
          <t>Connection strings/credentials stored in Key Vault, referenced via ADF Key Vault linked service or Databricks secret scopes — never hardcoded in pipelines/notebooks.</t>
        </is>
      </c>
      <c r="I34" s="13" t="n"/>
    </row>
    <row r="35" customFormat="1" s="15">
      <c r="A35" s="12" t="n">
        <v>24</v>
      </c>
      <c r="B35" s="13" t="inlineStr">
        <is>
          <t>Cross-Cutting Concerns</t>
        </is>
      </c>
      <c r="C35" s="14" t="inlineStr">
        <is>
          <t>CI/CD for data pipelines (Azure DevOps)</t>
        </is>
      </c>
      <c r="D35" s="13" t="inlineStr">
        <is>
          <t>Medium</t>
        </is>
      </c>
      <c r="E35" s="13" t="inlineStr">
        <is>
          <t>Completed</t>
        </is>
      </c>
      <c r="F35" s="13" t="n"/>
      <c r="G35" s="13" t="n"/>
      <c r="H35" s="14" t="inlineStr">
        <is>
          <t>ADF ARM templates and Databricks notebooks/repos version-controlled in Git, deployed across dev/test/prod via Azure DevOps release pipelines with environment-specific parameters.</t>
        </is>
      </c>
      <c r="I35" s="13" t="n"/>
    </row>
    <row r="36" customFormat="1" s="15">
      <c r="A36" s="12" t="n">
        <v>25</v>
      </c>
      <c r="B36" s="13" t="inlineStr">
        <is>
          <t>Cross-Cutting Concerns</t>
        </is>
      </c>
      <c r="C36" s="14" t="inlineStr">
        <is>
          <t>Unit/data testing for pipelines</t>
        </is>
      </c>
      <c r="D36" s="13" t="inlineStr">
        <is>
          <t>Medium</t>
        </is>
      </c>
      <c r="E36" s="13" t="inlineStr">
        <is>
          <t>Completed</t>
        </is>
      </c>
      <c r="F36" s="13" t="n"/>
      <c r="G36" s="13" t="n"/>
      <c r="H36" s="14" t="inlineStr">
        <is>
          <t>pytest/chispa for transformation logic unit tests on sample DataFrames; row count and reconciliation checks between source and target as data tests.</t>
        </is>
      </c>
      <c r="I36" s="13" t="n"/>
    </row>
    <row r="37"/>
    <row r="38" ht="30" customHeight="1">
      <c r="A38" s="17" t="inlineStr">
        <is>
          <t>EXAMPLE (for reference only — edit/delete before use): Topic Area: Silver Layer | Subtopic: SCD Type 2 implementation | Priority: High | Status: In Progress | Notes: Built MERGE-based SCD2 logic with effective_start_date/effective_end_date/is_current flags.</t>
        </is>
      </c>
    </row>
  </sheetData>
  <mergeCells count="10">
    <mergeCell ref="A15:I15"/>
    <mergeCell ref="A7:I7"/>
    <mergeCell ref="A19:I19"/>
    <mergeCell ref="A2:I2"/>
    <mergeCell ref="A11:I11"/>
    <mergeCell ref="A5:I5"/>
    <mergeCell ref="A1:I1"/>
    <mergeCell ref="A27:I27"/>
    <mergeCell ref="A24:I24"/>
    <mergeCell ref="A38:I38"/>
  </mergeCells>
  <conditionalFormatting sqref="E5:E36">
    <cfRule type="expression" priority="2" dxfId="0">
      <formula>$E5="Not Started"</formula>
    </cfRule>
    <cfRule type="expression" priority="3" dxfId="4">
      <formula>$E5="In Progress"</formula>
    </cfRule>
    <cfRule type="expression" priority="4" dxfId="1">
      <formula>$E5="Completed"</formula>
    </cfRule>
    <cfRule type="expression" priority="5" dxfId="2">
      <formula>$E5="Revise Again"</formula>
    </cfRule>
    <cfRule type="cellIs" priority="6" operator="equal" dxfId="0">
      <formula>"Not Started"</formula>
    </cfRule>
    <cfRule type="cellIs" priority="7" operator="equal" dxfId="4">
      <formula>"In Progress"</formula>
    </cfRule>
    <cfRule type="cellIs" priority="8" operator="equal" dxfId="1">
      <formula>"Completed"</formula>
    </cfRule>
    <cfRule type="cellIs" priority="9" operator="equal" dxfId="2">
      <formula>"Revise Again"</formula>
    </cfRule>
  </conditionalFormatting>
  <dataValidations count="2">
    <dataValidation sqref="E5:E36" showDropDown="0" showInputMessage="0" showErrorMessage="0" allowBlank="1" error="Choose a value from the list" prompt="Select status" type="list">
      <formula1>"Not Started,In Progress,Completed,Revise Again"</formula1>
      <formula2>0</formula2>
    </dataValidation>
    <dataValidation sqref="D5:D36" showDropDown="0" showInputMessage="0" showErrorMessage="0" allowBlank="1" type="list">
      <formula1>"High,Medium,Low"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zoomScaleNormal="100" workbookViewId="0">
      <pane ySplit="4" topLeftCell="A18" activePane="bottomLeft" state="frozen"/>
      <selection pane="bottomLeft" activeCell="B26" sqref="B26"/>
    </sheetView>
  </sheetViews>
  <sheetFormatPr baseColWidth="8" defaultColWidth="8.7109375" defaultRowHeight="15"/>
  <cols>
    <col width="5" customWidth="1" min="1" max="1"/>
    <col width="29.140625" customWidth="1" min="2" max="2"/>
    <col width="40" customWidth="1" min="3" max="3"/>
    <col width="10" customWidth="1" min="4" max="4"/>
    <col width="14" customWidth="1" min="5" max="5"/>
    <col width="13" customWidth="1" min="6" max="6"/>
    <col width="15" customWidth="1" min="7" max="7"/>
    <col width="40" customWidth="1" min="8" max="8"/>
    <col width="22" customWidth="1" min="9" max="9"/>
  </cols>
  <sheetData>
    <row r="1" ht="25.5" customHeight="1">
      <c r="A1" s="18" t="inlineStr">
        <is>
          <t>Interview Essentials</t>
        </is>
      </c>
    </row>
    <row r="2" ht="18" customHeight="1">
      <c r="A2" s="20" t="inlineStr">
        <is>
          <t>Cross-cutting skills often missed but commonly tested: Git, Python, Cloud, Governance, Testing/CI-CD, Monitoring</t>
        </is>
      </c>
    </row>
    <row r="4" ht="19.5" customHeight="1">
      <c r="A4" s="1" t="inlineStr">
        <is>
          <t>#</t>
        </is>
      </c>
      <c r="B4" s="1" t="inlineStr">
        <is>
          <t>Topic Area</t>
        </is>
      </c>
      <c r="C4" s="1" t="inlineStr">
        <is>
          <t>Subtopic / Concept</t>
        </is>
      </c>
      <c r="D4" s="1" t="inlineStr">
        <is>
          <t>Priority</t>
        </is>
      </c>
      <c r="E4" s="1" t="inlineStr">
        <is>
          <t>Status</t>
        </is>
      </c>
      <c r="F4" s="1" t="inlineStr">
        <is>
          <t>Date Started</t>
        </is>
      </c>
      <c r="G4" s="1" t="inlineStr">
        <is>
          <t>Date Completed</t>
        </is>
      </c>
      <c r="H4" s="1" t="inlineStr">
        <is>
          <t>Notes / Key Learnings</t>
        </is>
      </c>
      <c r="I4" s="1" t="inlineStr">
        <is>
          <t>Resource / Link</t>
        </is>
      </c>
    </row>
    <row r="5">
      <c r="A5" s="16" t="inlineStr">
        <is>
          <t>Git &amp; Version Control</t>
        </is>
      </c>
      <c r="B5" s="22" t="n"/>
      <c r="C5" s="22" t="n"/>
      <c r="D5" s="22" t="n"/>
      <c r="E5" s="22" t="n"/>
      <c r="F5" s="22" t="n"/>
      <c r="G5" s="22" t="n"/>
      <c r="H5" s="22" t="n"/>
      <c r="I5" s="23" t="n"/>
    </row>
    <row r="6">
      <c r="A6" s="8" t="n">
        <v>1</v>
      </c>
      <c r="B6" s="3" t="inlineStr">
        <is>
          <t>Git &amp; Version Control</t>
        </is>
      </c>
      <c r="C6" s="9" t="inlineStr">
        <is>
          <t>Branching, merge/rebase, pull requests</t>
        </is>
      </c>
      <c r="D6" s="3" t="inlineStr">
        <is>
          <t>High</t>
        </is>
      </c>
      <c r="E6" s="3" t="inlineStr">
        <is>
          <t>Completed</t>
        </is>
      </c>
      <c r="F6" s="3" t="n"/>
      <c r="G6" s="3" t="n"/>
      <c r="H6" s="9" t="inlineStr">
        <is>
          <t>Feature branches off main, PR-based review before merge; rebase for a clean linear history, merge to preserve branch history — know how to resolve conflicts.</t>
        </is>
      </c>
      <c r="I6" s="3" t="n"/>
    </row>
    <row r="7">
      <c r="A7" s="16" t="inlineStr">
        <is>
          <t>Python for Data Engineering</t>
        </is>
      </c>
      <c r="B7" s="22" t="n"/>
      <c r="C7" s="22" t="n"/>
      <c r="D7" s="22" t="n"/>
      <c r="E7" s="22" t="n"/>
      <c r="F7" s="22" t="n"/>
      <c r="G7" s="22" t="n"/>
      <c r="H7" s="22" t="n"/>
      <c r="I7" s="23" t="n"/>
    </row>
    <row r="8" ht="23.85" customHeight="1">
      <c r="A8" s="8" t="n">
        <v>2</v>
      </c>
      <c r="B8" s="3" t="inlineStr">
        <is>
          <t>Python for Data Engineering</t>
        </is>
      </c>
      <c r="C8" s="9" t="inlineStr">
        <is>
          <t>Python fundamentals (functions, OOP basics, list/dict comprehensions)</t>
        </is>
      </c>
      <c r="D8" s="3" t="inlineStr">
        <is>
          <t>High</t>
        </is>
      </c>
      <c r="E8" s="3" t="inlineStr">
        <is>
          <t>Completed</t>
        </is>
      </c>
      <c r="F8" s="3" t="n"/>
      <c r="G8" s="3" t="n"/>
      <c r="H8" s="9" t="inlineStr">
        <is>
          <t>Comfortable with functions/decorators, basic OOP (classes, inheritance), and comprehensions for concise data transforms — commonly used in PySpark UDFs and utility scripts.</t>
        </is>
      </c>
      <c r="I8" s="3" t="n"/>
    </row>
    <row r="9">
      <c r="A9" s="8" t="n">
        <v>3</v>
      </c>
      <c r="B9" s="3" t="inlineStr">
        <is>
          <t>Python for Data Engineering</t>
        </is>
      </c>
      <c r="C9" s="9" t="inlineStr">
        <is>
          <t>Working with APIs, JSON, file I/O</t>
        </is>
      </c>
      <c r="D9" s="3" t="inlineStr">
        <is>
          <t>Medium</t>
        </is>
      </c>
      <c r="E9" s="3" t="inlineStr">
        <is>
          <t>Completed</t>
        </is>
      </c>
      <c r="F9" s="3" t="n"/>
      <c r="G9" s="3" t="n"/>
      <c r="H9" s="9" t="inlineStr">
        <is>
          <t>requests library for REST API calls, json module/pandas for parsing nested JSON, standard file I/O for reading/writing local files during ingestion utilities.</t>
        </is>
      </c>
      <c r="I9" s="3" t="n"/>
    </row>
    <row r="10">
      <c r="A10" s="16" t="inlineStr">
        <is>
          <t>Cloud Fundamentals (Azure)</t>
        </is>
      </c>
      <c r="B10" s="22" t="n"/>
      <c r="C10" s="22" t="n"/>
      <c r="D10" s="22" t="n"/>
      <c r="E10" s="22" t="n"/>
      <c r="F10" s="22" t="n"/>
      <c r="G10" s="22" t="n"/>
      <c r="H10" s="22" t="n"/>
      <c r="I10" s="23" t="n"/>
    </row>
    <row r="11">
      <c r="A11" s="8" t="n">
        <v>4</v>
      </c>
      <c r="B11" s="3" t="inlineStr">
        <is>
          <t>Cloud Fundamentals (Azure)</t>
        </is>
      </c>
      <c r="C11" s="9" t="inlineStr">
        <is>
          <t>Azure Storage (Blob/ADLS Gen2) basics</t>
        </is>
      </c>
      <c r="D11" s="3" t="inlineStr">
        <is>
          <t>High</t>
        </is>
      </c>
      <c r="E11" s="3" t="inlineStr">
        <is>
          <t>Completed</t>
        </is>
      </c>
      <c r="F11" s="3" t="n"/>
      <c r="G11" s="3" t="n"/>
      <c r="H11" s="9" t="inlineStr">
        <is>
          <t>ADLS Gen2 = Blob storage + hierarchical namespace, enabling directory-level operations and finer ACLs; standard landing/raw zone for the lakehouse.</t>
        </is>
      </c>
      <c r="I11" s="3" t="n"/>
    </row>
    <row r="12">
      <c r="A12" s="8" t="n">
        <v>5</v>
      </c>
      <c r="B12" s="3" t="inlineStr">
        <is>
          <t>Cloud Fundamentals (Azure)</t>
        </is>
      </c>
      <c r="C12" s="9" t="inlineStr">
        <is>
          <t>Azure SQL / Synapse basics</t>
        </is>
      </c>
      <c r="D12" s="3" t="inlineStr">
        <is>
          <t>Medium</t>
        </is>
      </c>
      <c r="E12" s="3" t="inlineStr">
        <is>
          <t>Completed</t>
        </is>
      </c>
      <c r="F12" s="3" t="n"/>
      <c r="G12" s="3" t="n"/>
      <c r="H12" s="9" t="inlineStr">
        <is>
          <t>Azure SQL DB: managed OLTP database. Synapse: unified analytics (SQL pool for MPP warehousing + Spark pool), used for large-scale warehouse/ELT workloads.</t>
        </is>
      </c>
      <c r="I12" s="3" t="n"/>
    </row>
    <row r="13">
      <c r="A13" s="8" t="n">
        <v>6</v>
      </c>
      <c r="B13" s="3" t="inlineStr">
        <is>
          <t>Cloud Fundamentals (Azure)</t>
        </is>
      </c>
      <c r="C13" s="9" t="inlineStr">
        <is>
          <t>Azure Key Vault &amp; IAM/RBAC basics</t>
        </is>
      </c>
      <c r="D13" s="3" t="inlineStr">
        <is>
          <t>Medium</t>
        </is>
      </c>
      <c r="E13" s="3" t="inlineStr">
        <is>
          <t>Completed</t>
        </is>
      </c>
      <c r="F13" s="3" t="n"/>
      <c r="G13" s="3" t="n"/>
      <c r="H13" s="9" t="inlineStr">
        <is>
          <t>Key Vault centrally stores secrets/keys/certs. RBAC assigns least-privilege roles at resource scope (subscription/resource group/resource) to users/service principals/managed identities.</t>
        </is>
      </c>
      <c r="I13" s="3" t="n"/>
    </row>
    <row r="14">
      <c r="A14" s="16" t="inlineStr">
        <is>
          <t>Data Governance &amp; Security</t>
        </is>
      </c>
      <c r="B14" s="22" t="n"/>
      <c r="C14" s="22" t="n"/>
      <c r="D14" s="22" t="n"/>
      <c r="E14" s="22" t="n"/>
      <c r="F14" s="22" t="n"/>
      <c r="G14" s="22" t="n"/>
      <c r="H14" s="22" t="n"/>
      <c r="I14" s="23" t="n"/>
    </row>
    <row r="15">
      <c r="A15" s="8" t="n">
        <v>7</v>
      </c>
      <c r="B15" s="3" t="inlineStr">
        <is>
          <t>Data Governance &amp; Security</t>
        </is>
      </c>
      <c r="C15" s="9" t="inlineStr">
        <is>
          <t>Data governance concepts (lineage, cataloging)</t>
        </is>
      </c>
      <c r="D15" s="3" t="inlineStr">
        <is>
          <t>Medium</t>
        </is>
      </c>
      <c r="E15" s="3" t="inlineStr">
        <is>
          <t>Completed</t>
        </is>
      </c>
      <c r="F15" s="3" t="n"/>
      <c r="G15" s="3" t="n"/>
      <c r="H15" s="9" t="inlineStr">
        <is>
          <t>Lineage tracks data flow from source to consumption for impact analysis/debugging; cataloging (e.g. Unity Catalog, Purview) makes datasets discoverable with metadata/ownership.</t>
        </is>
      </c>
      <c r="I15" s="3" t="n"/>
    </row>
    <row r="16">
      <c r="A16" s="8" t="n">
        <v>8</v>
      </c>
      <c r="B16" s="3" t="inlineStr">
        <is>
          <t>Data Governance &amp; Security</t>
        </is>
      </c>
      <c r="C16" s="9" t="inlineStr">
        <is>
          <t>Data masking / PII handling</t>
        </is>
      </c>
      <c r="D16" s="3" t="inlineStr">
        <is>
          <t>Medium</t>
        </is>
      </c>
      <c r="E16" s="3" t="inlineStr">
        <is>
          <t>Completed</t>
        </is>
      </c>
      <c r="F16" s="3" t="n"/>
      <c r="G16" s="3" t="n"/>
      <c r="H16" s="9" t="inlineStr">
        <is>
          <t>Column-level masking/dynamic data masking hides sensitive fields for non-privileged roles; tokenization/hashing for PII at rest, access enforced via Unity Catalog/RBAC.</t>
        </is>
      </c>
      <c r="I16" s="3" t="n"/>
    </row>
    <row r="17">
      <c r="A17" s="8" t="n">
        <v>9</v>
      </c>
      <c r="B17" s="3" t="inlineStr">
        <is>
          <t>Data Governance &amp; Security</t>
        </is>
      </c>
      <c r="C17" s="9" t="inlineStr">
        <is>
          <t>Encryption at rest &amp; in transit</t>
        </is>
      </c>
      <c r="D17" s="3" t="inlineStr">
        <is>
          <t>Low</t>
        </is>
      </c>
      <c r="E17" s="3" t="inlineStr">
        <is>
          <t>Completed</t>
        </is>
      </c>
      <c r="F17" s="3" t="n"/>
      <c r="G17" s="3" t="n"/>
      <c r="H17" s="9" t="inlineStr">
        <is>
          <t>At rest: storage-level encryption (e.g. Azure Storage Service Encryption). In transit: TLS/HTTPS for data movement between services — mostly managed by cloud provider by default.</t>
        </is>
      </c>
      <c r="I17" s="3" t="n"/>
    </row>
    <row r="18">
      <c r="A18" s="16" t="inlineStr">
        <is>
          <t>Testing &amp; CI/CD</t>
        </is>
      </c>
      <c r="B18" s="22" t="n"/>
      <c r="C18" s="22" t="n"/>
      <c r="D18" s="22" t="n"/>
      <c r="E18" s="22" t="n"/>
      <c r="F18" s="22" t="n"/>
      <c r="G18" s="22" t="n"/>
      <c r="H18" s="22" t="n"/>
      <c r="I18" s="23" t="n"/>
    </row>
    <row r="19" ht="23.85" customHeight="1">
      <c r="A19" s="8" t="n">
        <v>10</v>
      </c>
      <c r="B19" s="3" t="inlineStr">
        <is>
          <t>Testing &amp; CI/CD</t>
        </is>
      </c>
      <c r="C19" s="9" t="inlineStr">
        <is>
          <t>Unit testing for data pipelines (pytest, chispa, etc.)</t>
        </is>
      </c>
      <c r="D19" s="3" t="inlineStr">
        <is>
          <t>Medium</t>
        </is>
      </c>
      <c r="E19" s="3" t="inlineStr">
        <is>
          <t>Completed</t>
        </is>
      </c>
      <c r="F19" s="3" t="n"/>
      <c r="G19" s="3" t="n"/>
      <c r="H19" s="9" t="inlineStr">
        <is>
          <t>pytest for transformation function logic; chispa for asserting PySpark DataFrame equality; test with small synthetic DataFrames rather than full production data.</t>
        </is>
      </c>
      <c r="I19" s="3" t="n"/>
    </row>
    <row r="20" ht="23.85" customHeight="1">
      <c r="A20" s="8" t="n">
        <v>11</v>
      </c>
      <c r="B20" s="3" t="inlineStr">
        <is>
          <t>Testing &amp; CI/CD</t>
        </is>
      </c>
      <c r="C20" s="9" t="inlineStr">
        <is>
          <t>CI/CD pipelines for data engineering (Azure DevOps/GitHub Actions)</t>
        </is>
      </c>
      <c r="D20" s="3" t="inlineStr">
        <is>
          <t>Medium</t>
        </is>
      </c>
      <c r="E20" s="3" t="inlineStr">
        <is>
          <t>Completed</t>
        </is>
      </c>
      <c r="F20" s="3" t="n"/>
      <c r="G20" s="3" t="n"/>
      <c r="H20" s="9" t="inlineStr">
        <is>
          <t>Automated build/test/deploy of notebooks, ADF ARM templates, and job configs across dev/test/prod on merge to main, with approval gates for prod.</t>
        </is>
      </c>
      <c r="I20" s="3" t="n"/>
    </row>
    <row r="21">
      <c r="A21" s="16" t="inlineStr">
        <is>
          <t>Monitoring &amp; Cost</t>
        </is>
      </c>
      <c r="B21" s="22" t="n"/>
      <c r="C21" s="22" t="n"/>
      <c r="D21" s="22" t="n"/>
      <c r="E21" s="22" t="n"/>
      <c r="F21" s="22" t="n"/>
      <c r="G21" s="22" t="n"/>
      <c r="H21" s="22" t="n"/>
      <c r="I21" s="23" t="n"/>
    </row>
    <row r="22">
      <c r="A22" s="8" t="n">
        <v>12</v>
      </c>
      <c r="B22" s="3" t="inlineStr">
        <is>
          <t>Monitoring &amp; Cost</t>
        </is>
      </c>
      <c r="C22" s="9" t="inlineStr">
        <is>
          <t>Pipeline monitoring &amp; alerting</t>
        </is>
      </c>
      <c r="D22" s="3" t="inlineStr">
        <is>
          <t>Medium</t>
        </is>
      </c>
      <c r="E22" s="3" t="inlineStr">
        <is>
          <t>Completed</t>
        </is>
      </c>
      <c r="F22" s="3" t="n"/>
      <c r="G22" s="3" t="n"/>
      <c r="H22" s="9" t="inlineStr">
        <is>
          <t>Track pipeline run status, duration, row counts; alert on failures/SLA breaches via Azure Monitor/Log Analytics + email/Teams/PagerDuty integration.</t>
        </is>
      </c>
      <c r="I22" s="3" t="n"/>
    </row>
    <row r="23" ht="23.85" customHeight="1">
      <c r="A23" s="8" t="n">
        <v>13</v>
      </c>
      <c r="B23" s="3" t="inlineStr">
        <is>
          <t>Monitoring &amp; Cost</t>
        </is>
      </c>
      <c r="C23" s="9" t="inlineStr">
        <is>
          <t>Cost optimization (cluster sizing, spot instances, autoscaling)</t>
        </is>
      </c>
      <c r="D23" s="3" t="inlineStr">
        <is>
          <t>Medium</t>
        </is>
      </c>
      <c r="E23" s="3" t="inlineStr">
        <is>
          <t>Completed</t>
        </is>
      </c>
      <c r="F23" s="3" t="n"/>
      <c r="G23" s="3" t="n"/>
      <c r="H23" s="9" t="inlineStr">
        <is>
          <t>Right-size clusters to workload, use job clusters (not all-purpose) for scheduled jobs, spot/preemptible instances for fault-tolerant workloads, autoscaling to avoid idle compute.</t>
        </is>
      </c>
      <c r="I23" s="3" t="n"/>
    </row>
    <row r="24">
      <c r="A24" s="16" t="inlineStr">
        <is>
          <t>Interview Prep</t>
        </is>
      </c>
      <c r="B24" s="22" t="n"/>
      <c r="C24" s="22" t="n"/>
      <c r="D24" s="22" t="n"/>
      <c r="E24" s="22" t="n"/>
      <c r="F24" s="22" t="n"/>
      <c r="G24" s="22" t="n"/>
      <c r="H24" s="22" t="n"/>
      <c r="I24" s="23" t="n"/>
    </row>
    <row r="25" ht="24" customHeight="1">
      <c r="A25" s="8" t="n">
        <v>14</v>
      </c>
      <c r="B25" s="3" t="inlineStr">
        <is>
          <t>Interview Prep</t>
        </is>
      </c>
      <c r="C25" s="9" t="inlineStr">
        <is>
          <t>System design for data pipelines (whiteboard a pipeline end-to-end)</t>
        </is>
      </c>
      <c r="D25" s="3" t="inlineStr">
        <is>
          <t>High</t>
        </is>
      </c>
      <c r="E25" s="3" t="inlineStr">
        <is>
          <t>In Progress</t>
        </is>
      </c>
      <c r="F25" s="3" t="n"/>
      <c r="G25" s="3" t="n"/>
      <c r="H25" s="9" t="inlineStr">
        <is>
          <t>Practice articulating: source -&gt; ingestion (batch/stream) -&gt; raw/bronze -&gt; transform/quality -&gt; silver -&gt; model/aggregate -&gt; gold -&gt; serving, plus orchestration, monitoring, and failure handling at each stage.</t>
        </is>
      </c>
      <c r="I25" s="3" t="n"/>
    </row>
    <row r="26" ht="24" customHeight="1">
      <c r="A26" s="8" t="n">
        <v>15</v>
      </c>
      <c r="B26" s="3" t="inlineStr">
        <is>
          <t>Interview Prep</t>
        </is>
      </c>
      <c r="C26" s="9" t="inlineStr">
        <is>
          <t>Behavioral questions (STAR method) for DE roles</t>
        </is>
      </c>
      <c r="D26" s="3" t="inlineStr">
        <is>
          <t>High</t>
        </is>
      </c>
      <c r="E26" s="3" t="inlineStr">
        <is>
          <t>In Progress</t>
        </is>
      </c>
      <c r="F26" s="3" t="n"/>
      <c r="G26" s="3" t="n"/>
      <c r="H26" s="9" t="inlineStr">
        <is>
          <t>Prepare 4-5 STAR stories (Situation, Task, Action, Result) covering: a production incident you fixed, a performance optimization, a conflict/collaboration, and a project you led end-to-end.</t>
        </is>
      </c>
      <c r="I26" s="3" t="n"/>
    </row>
    <row r="27"/>
    <row r="28" ht="30" customHeight="1">
      <c r="A28" s="17" t="inlineStr">
        <is>
          <t>EXAMPLE (for reference only — edit/delete before use): Topic Area: Data Governance &amp; Security | Subtopic: Data masking / PII handling | Priority: Medium | Status: Not Started | Notes: Review Databricks column-level masking with Unity Catalog.</t>
        </is>
      </c>
    </row>
  </sheetData>
  <mergeCells count="10">
    <mergeCell ref="A7:I7"/>
    <mergeCell ref="A2:I2"/>
    <mergeCell ref="A10:I10"/>
    <mergeCell ref="A28:I28"/>
    <mergeCell ref="A5:I5"/>
    <mergeCell ref="A21:I21"/>
    <mergeCell ref="A14:I14"/>
    <mergeCell ref="A1:I1"/>
    <mergeCell ref="A18:I18"/>
    <mergeCell ref="A24:I24"/>
  </mergeCells>
  <conditionalFormatting sqref="E5:E26">
    <cfRule type="expression" priority="2" dxfId="0">
      <formula>$E5="Not Started"</formula>
    </cfRule>
    <cfRule type="expression" priority="3" dxfId="4">
      <formula>$E5="In Progress"</formula>
    </cfRule>
    <cfRule type="expression" priority="4" dxfId="1">
      <formula>$E5="Completed"</formula>
    </cfRule>
    <cfRule type="expression" priority="5" dxfId="2">
      <formula>$E5="Revise Again"</formula>
    </cfRule>
    <cfRule type="cellIs" priority="6" operator="equal" dxfId="0">
      <formula>"Not Started"</formula>
    </cfRule>
    <cfRule type="cellIs" priority="7" operator="equal" dxfId="4">
      <formula>"In Progress"</formula>
    </cfRule>
    <cfRule type="cellIs" priority="8" operator="equal" dxfId="1">
      <formula>"Completed"</formula>
    </cfRule>
    <cfRule type="cellIs" priority="9" operator="equal" dxfId="2">
      <formula>"Revise Again"</formula>
    </cfRule>
  </conditionalFormatting>
  <dataValidations count="2">
    <dataValidation sqref="E5:E26" showDropDown="0" showInputMessage="0" showErrorMessage="0" allowBlank="1" error="Choose a value from the list" prompt="Select status" type="list">
      <formula1>"Not Started,In Progress,Completed,Revise Again"</formula1>
      <formula2>0</formula2>
    </dataValidation>
    <dataValidation sqref="D5:D26" showDropDown="0" showInputMessage="0" showErrorMessage="0" allowBlank="1" type="list">
      <formula1>"High,Medium,Low"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2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13" customWidth="1" min="1" max="1"/>
    <col width="15" customWidth="1" min="2" max="2"/>
    <col width="16" customWidth="1" min="3" max="3"/>
    <col width="32" customWidth="1" min="4" max="4"/>
    <col width="14" customWidth="1" min="5" max="5"/>
    <col width="20" customWidth="1" min="6" max="6"/>
    <col width="16" customWidth="1" min="7" max="7"/>
    <col width="40" customWidth="1" min="8" max="8"/>
  </cols>
  <sheetData>
    <row r="1" ht="25.5" customHeight="1">
      <c r="A1" s="18" t="inlineStr">
        <is>
          <t>Daily SQL Practice Log</t>
        </is>
      </c>
    </row>
    <row r="2" ht="18" customHeight="1">
      <c r="A2" s="20" t="inlineStr">
        <is>
          <t>Track daily practice of 5-10 SQL queries — log every session here</t>
        </is>
      </c>
    </row>
    <row r="4" ht="19.5" customHeight="1">
      <c r="A4" s="1" t="inlineStr">
        <is>
          <t>Date</t>
        </is>
      </c>
      <c r="B4" s="1" t="inlineStr">
        <is>
          <t>Queries Solved</t>
        </is>
      </c>
      <c r="C4" s="1" t="inlineStr">
        <is>
          <t>Target Met? (5-10)</t>
        </is>
      </c>
      <c r="D4" s="1" t="inlineStr">
        <is>
          <t>Topics Practiced</t>
        </is>
      </c>
      <c r="E4" s="1" t="inlineStr">
        <is>
          <t>Difficulty Level</t>
        </is>
      </c>
      <c r="F4" s="1" t="inlineStr">
        <is>
          <t>Platform / Source</t>
        </is>
      </c>
      <c r="G4" s="1" t="inlineStr">
        <is>
          <t>Confidence (1-5)</t>
        </is>
      </c>
      <c r="H4" s="1" t="inlineStr">
        <is>
          <t>Notes</t>
        </is>
      </c>
    </row>
    <row r="5">
      <c r="A5" s="10" t="n"/>
      <c r="B5" s="3" t="n"/>
      <c r="C5" s="3">
        <f>IF(B5="","",IF(AND(B5&gt;=5,B5&lt;=10),"Yes","No"))</f>
        <v/>
      </c>
      <c r="D5" s="9" t="n"/>
      <c r="E5" s="3" t="n"/>
      <c r="F5" s="3" t="n"/>
      <c r="G5" s="3" t="n"/>
      <c r="H5" s="9" t="n"/>
    </row>
    <row r="6">
      <c r="A6" s="10" t="n"/>
      <c r="B6" s="3" t="n"/>
      <c r="C6" s="3">
        <f>IF(B6="","",IF(AND(B6&gt;=5,B6&lt;=10),"Yes","No"))</f>
        <v/>
      </c>
      <c r="D6" s="9" t="n"/>
      <c r="E6" s="3" t="n"/>
      <c r="F6" s="3" t="n"/>
      <c r="G6" s="3" t="n"/>
      <c r="H6" s="9" t="n"/>
    </row>
    <row r="7">
      <c r="A7" s="10" t="n"/>
      <c r="B7" s="3" t="n"/>
      <c r="C7" s="3">
        <f>IF(B7="","",IF(AND(B7&gt;=5,B7&lt;=10),"Yes","No"))</f>
        <v/>
      </c>
      <c r="D7" s="9" t="n"/>
      <c r="E7" s="3" t="n"/>
      <c r="F7" s="3" t="n"/>
      <c r="G7" s="3" t="n"/>
      <c r="H7" s="9" t="n"/>
    </row>
    <row r="8">
      <c r="A8" s="10" t="n"/>
      <c r="B8" s="3" t="n"/>
      <c r="C8" s="3">
        <f>IF(B8="","",IF(AND(B8&gt;=5,B8&lt;=10),"Yes","No"))</f>
        <v/>
      </c>
      <c r="D8" s="9" t="n"/>
      <c r="E8" s="3" t="n"/>
      <c r="F8" s="3" t="n"/>
      <c r="G8" s="3" t="n"/>
      <c r="H8" s="9" t="n"/>
    </row>
    <row r="9">
      <c r="A9" s="10" t="n"/>
      <c r="B9" s="3" t="n"/>
      <c r="C9" s="3">
        <f>IF(B9="","",IF(AND(B9&gt;=5,B9&lt;=10),"Yes","No"))</f>
        <v/>
      </c>
      <c r="D9" s="9" t="n"/>
      <c r="E9" s="3" t="n"/>
      <c r="F9" s="3" t="n"/>
      <c r="G9" s="3" t="n"/>
      <c r="H9" s="9" t="n"/>
    </row>
    <row r="10">
      <c r="A10" s="10" t="n"/>
      <c r="B10" s="3" t="n"/>
      <c r="C10" s="3">
        <f>IF(B10="","",IF(AND(B10&gt;=5,B10&lt;=10),"Yes","No"))</f>
        <v/>
      </c>
      <c r="D10" s="9" t="n"/>
      <c r="E10" s="3" t="n"/>
      <c r="F10" s="3" t="n"/>
      <c r="G10" s="3" t="n"/>
      <c r="H10" s="9" t="n"/>
    </row>
    <row r="11">
      <c r="A11" s="10" t="n"/>
      <c r="B11" s="3" t="n"/>
      <c r="C11" s="3">
        <f>IF(B11="","",IF(AND(B11&gt;=5,B11&lt;=10),"Yes","No"))</f>
        <v/>
      </c>
      <c r="D11" s="9" t="n"/>
      <c r="E11" s="3" t="n"/>
      <c r="F11" s="3" t="n"/>
      <c r="G11" s="3" t="n"/>
      <c r="H11" s="9" t="n"/>
    </row>
    <row r="12">
      <c r="A12" s="10" t="n"/>
      <c r="B12" s="3" t="n"/>
      <c r="C12" s="3">
        <f>IF(B12="","",IF(AND(B12&gt;=5,B12&lt;=10),"Yes","No"))</f>
        <v/>
      </c>
      <c r="D12" s="9" t="n"/>
      <c r="E12" s="3" t="n"/>
      <c r="F12" s="3" t="n"/>
      <c r="G12" s="3" t="n"/>
      <c r="H12" s="9" t="n"/>
    </row>
    <row r="13">
      <c r="A13" s="10" t="n"/>
      <c r="B13" s="3" t="n"/>
      <c r="C13" s="3">
        <f>IF(B13="","",IF(AND(B13&gt;=5,B13&lt;=10),"Yes","No"))</f>
        <v/>
      </c>
      <c r="D13" s="9" t="n"/>
      <c r="E13" s="3" t="n"/>
      <c r="F13" s="3" t="n"/>
      <c r="G13" s="3" t="n"/>
      <c r="H13" s="9" t="n"/>
    </row>
    <row r="14">
      <c r="A14" s="10" t="n"/>
      <c r="B14" s="3" t="n"/>
      <c r="C14" s="3">
        <f>IF(B14="","",IF(AND(B14&gt;=5,B14&lt;=10),"Yes","No"))</f>
        <v/>
      </c>
      <c r="D14" s="9" t="n"/>
      <c r="E14" s="3" t="n"/>
      <c r="F14" s="3" t="n"/>
      <c r="G14" s="3" t="n"/>
      <c r="H14" s="9" t="n"/>
    </row>
    <row r="15">
      <c r="A15" s="10" t="n"/>
      <c r="B15" s="3" t="n"/>
      <c r="C15" s="3">
        <f>IF(B15="","",IF(AND(B15&gt;=5,B15&lt;=10),"Yes","No"))</f>
        <v/>
      </c>
      <c r="D15" s="9" t="n"/>
      <c r="E15" s="3" t="n"/>
      <c r="F15" s="3" t="n"/>
      <c r="G15" s="3" t="n"/>
      <c r="H15" s="9" t="n"/>
    </row>
    <row r="16">
      <c r="A16" s="10" t="n"/>
      <c r="B16" s="3" t="n"/>
      <c r="C16" s="3">
        <f>IF(B16="","",IF(AND(B16&gt;=5,B16&lt;=10),"Yes","No"))</f>
        <v/>
      </c>
      <c r="D16" s="9" t="n"/>
      <c r="E16" s="3" t="n"/>
      <c r="F16" s="3" t="n"/>
      <c r="G16" s="3" t="n"/>
      <c r="H16" s="9" t="n"/>
    </row>
    <row r="17">
      <c r="A17" s="10" t="n"/>
      <c r="B17" s="3" t="n"/>
      <c r="C17" s="3">
        <f>IF(B17="","",IF(AND(B17&gt;=5,B17&lt;=10),"Yes","No"))</f>
        <v/>
      </c>
      <c r="D17" s="9" t="n"/>
      <c r="E17" s="3" t="n"/>
      <c r="F17" s="3" t="n"/>
      <c r="G17" s="3" t="n"/>
      <c r="H17" s="9" t="n"/>
    </row>
    <row r="18">
      <c r="A18" s="10" t="n"/>
      <c r="B18" s="3" t="n"/>
      <c r="C18" s="3">
        <f>IF(B18="","",IF(AND(B18&gt;=5,B18&lt;=10),"Yes","No"))</f>
        <v/>
      </c>
      <c r="D18" s="9" t="n"/>
      <c r="E18" s="3" t="n"/>
      <c r="F18" s="3" t="n"/>
      <c r="G18" s="3" t="n"/>
      <c r="H18" s="9" t="n"/>
    </row>
    <row r="19">
      <c r="A19" s="10" t="n"/>
      <c r="B19" s="3" t="n"/>
      <c r="C19" s="3">
        <f>IF(B19="","",IF(AND(B19&gt;=5,B19&lt;=10),"Yes","No"))</f>
        <v/>
      </c>
      <c r="D19" s="9" t="n"/>
      <c r="E19" s="3" t="n"/>
      <c r="F19" s="3" t="n"/>
      <c r="G19" s="3" t="n"/>
      <c r="H19" s="9" t="n"/>
    </row>
    <row r="20">
      <c r="A20" s="10" t="n"/>
      <c r="B20" s="3" t="n"/>
      <c r="C20" s="3">
        <f>IF(B20="","",IF(AND(B20&gt;=5,B20&lt;=10),"Yes","No"))</f>
        <v/>
      </c>
      <c r="D20" s="9" t="n"/>
      <c r="E20" s="3" t="n"/>
      <c r="F20" s="3" t="n"/>
      <c r="G20" s="3" t="n"/>
      <c r="H20" s="9" t="n"/>
    </row>
    <row r="21">
      <c r="A21" s="10" t="n"/>
      <c r="B21" s="3" t="n"/>
      <c r="C21" s="3">
        <f>IF(B21="","",IF(AND(B21&gt;=5,B21&lt;=10),"Yes","No"))</f>
        <v/>
      </c>
      <c r="D21" s="9" t="n"/>
      <c r="E21" s="3" t="n"/>
      <c r="F21" s="3" t="n"/>
      <c r="G21" s="3" t="n"/>
      <c r="H21" s="9" t="n"/>
    </row>
    <row r="22">
      <c r="A22" s="10" t="n"/>
      <c r="B22" s="3" t="n"/>
      <c r="C22" s="3">
        <f>IF(B22="","",IF(AND(B22&gt;=5,B22&lt;=10),"Yes","No"))</f>
        <v/>
      </c>
      <c r="D22" s="9" t="n"/>
      <c r="E22" s="3" t="n"/>
      <c r="F22" s="3" t="n"/>
      <c r="G22" s="3" t="n"/>
      <c r="H22" s="9" t="n"/>
    </row>
    <row r="23">
      <c r="A23" s="10" t="n"/>
      <c r="B23" s="3" t="n"/>
      <c r="C23" s="3">
        <f>IF(B23="","",IF(AND(B23&gt;=5,B23&lt;=10),"Yes","No"))</f>
        <v/>
      </c>
      <c r="D23" s="9" t="n"/>
      <c r="E23" s="3" t="n"/>
      <c r="F23" s="3" t="n"/>
      <c r="G23" s="3" t="n"/>
      <c r="H23" s="9" t="n"/>
    </row>
    <row r="24">
      <c r="A24" s="10" t="n"/>
      <c r="B24" s="3" t="n"/>
      <c r="C24" s="3">
        <f>IF(B24="","",IF(AND(B24&gt;=5,B24&lt;=10),"Yes","No"))</f>
        <v/>
      </c>
      <c r="D24" s="9" t="n"/>
      <c r="E24" s="3" t="n"/>
      <c r="F24" s="3" t="n"/>
      <c r="G24" s="3" t="n"/>
      <c r="H24" s="9" t="n"/>
    </row>
    <row r="25">
      <c r="A25" s="10" t="n"/>
      <c r="B25" s="3" t="n"/>
      <c r="C25" s="3">
        <f>IF(B25="","",IF(AND(B25&gt;=5,B25&lt;=10),"Yes","No"))</f>
        <v/>
      </c>
      <c r="D25" s="9" t="n"/>
      <c r="E25" s="3" t="n"/>
      <c r="F25" s="3" t="n"/>
      <c r="G25" s="3" t="n"/>
      <c r="H25" s="9" t="n"/>
    </row>
    <row r="26">
      <c r="A26" s="10" t="n"/>
      <c r="B26" s="3" t="n"/>
      <c r="C26" s="3">
        <f>IF(B26="","",IF(AND(B26&gt;=5,B26&lt;=10),"Yes","No"))</f>
        <v/>
      </c>
      <c r="D26" s="9" t="n"/>
      <c r="E26" s="3" t="n"/>
      <c r="F26" s="3" t="n"/>
      <c r="G26" s="3" t="n"/>
      <c r="H26" s="9" t="n"/>
    </row>
    <row r="27">
      <c r="A27" s="10" t="n"/>
      <c r="B27" s="3" t="n"/>
      <c r="C27" s="3">
        <f>IF(B27="","",IF(AND(B27&gt;=5,B27&lt;=10),"Yes","No"))</f>
        <v/>
      </c>
      <c r="D27" s="9" t="n"/>
      <c r="E27" s="3" t="n"/>
      <c r="F27" s="3" t="n"/>
      <c r="G27" s="3" t="n"/>
      <c r="H27" s="9" t="n"/>
    </row>
    <row r="28">
      <c r="A28" s="10" t="n"/>
      <c r="B28" s="3" t="n"/>
      <c r="C28" s="3">
        <f>IF(B28="","",IF(AND(B28&gt;=5,B28&lt;=10),"Yes","No"))</f>
        <v/>
      </c>
      <c r="D28" s="9" t="n"/>
      <c r="E28" s="3" t="n"/>
      <c r="F28" s="3" t="n"/>
      <c r="G28" s="3" t="n"/>
      <c r="H28" s="9" t="n"/>
    </row>
    <row r="29">
      <c r="A29" s="10" t="n"/>
      <c r="B29" s="3" t="n"/>
      <c r="C29" s="3">
        <f>IF(B29="","",IF(AND(B29&gt;=5,B29&lt;=10),"Yes","No"))</f>
        <v/>
      </c>
      <c r="D29" s="9" t="n"/>
      <c r="E29" s="3" t="n"/>
      <c r="F29" s="3" t="n"/>
      <c r="G29" s="3" t="n"/>
      <c r="H29" s="9" t="n"/>
    </row>
    <row r="30">
      <c r="A30" s="10" t="n"/>
      <c r="B30" s="3" t="n"/>
      <c r="C30" s="3">
        <f>IF(B30="","",IF(AND(B30&gt;=5,B30&lt;=10),"Yes","No"))</f>
        <v/>
      </c>
      <c r="D30" s="9" t="n"/>
      <c r="E30" s="3" t="n"/>
      <c r="F30" s="3" t="n"/>
      <c r="G30" s="3" t="n"/>
      <c r="H30" s="9" t="n"/>
    </row>
    <row r="31">
      <c r="A31" s="10" t="n"/>
      <c r="B31" s="3" t="n"/>
      <c r="C31" s="3">
        <f>IF(B31="","",IF(AND(B31&gt;=5,B31&lt;=10),"Yes","No"))</f>
        <v/>
      </c>
      <c r="D31" s="9" t="n"/>
      <c r="E31" s="3" t="n"/>
      <c r="F31" s="3" t="n"/>
      <c r="G31" s="3" t="n"/>
      <c r="H31" s="9" t="n"/>
    </row>
    <row r="32">
      <c r="A32" s="10" t="n"/>
      <c r="B32" s="3" t="n"/>
      <c r="C32" s="3">
        <f>IF(B32="","",IF(AND(B32&gt;=5,B32&lt;=10),"Yes","No"))</f>
        <v/>
      </c>
      <c r="D32" s="9" t="n"/>
      <c r="E32" s="3" t="n"/>
      <c r="F32" s="3" t="n"/>
      <c r="G32" s="3" t="n"/>
      <c r="H32" s="9" t="n"/>
    </row>
    <row r="33">
      <c r="A33" s="10" t="n"/>
      <c r="B33" s="3" t="n"/>
      <c r="C33" s="3">
        <f>IF(B33="","",IF(AND(B33&gt;=5,B33&lt;=10),"Yes","No"))</f>
        <v/>
      </c>
      <c r="D33" s="9" t="n"/>
      <c r="E33" s="3" t="n"/>
      <c r="F33" s="3" t="n"/>
      <c r="G33" s="3" t="n"/>
      <c r="H33" s="9" t="n"/>
    </row>
    <row r="34">
      <c r="A34" s="10" t="n"/>
      <c r="B34" s="3" t="n"/>
      <c r="C34" s="3">
        <f>IF(B34="","",IF(AND(B34&gt;=5,B34&lt;=10),"Yes","No"))</f>
        <v/>
      </c>
      <c r="D34" s="9" t="n"/>
      <c r="E34" s="3" t="n"/>
      <c r="F34" s="3" t="n"/>
      <c r="G34" s="3" t="n"/>
      <c r="H34" s="9" t="n"/>
    </row>
    <row r="35">
      <c r="A35" s="10" t="n"/>
      <c r="B35" s="3" t="n"/>
      <c r="C35" s="3">
        <f>IF(B35="","",IF(AND(B35&gt;=5,B35&lt;=10),"Yes","No"))</f>
        <v/>
      </c>
      <c r="D35" s="9" t="n"/>
      <c r="E35" s="3" t="n"/>
      <c r="F35" s="3" t="n"/>
      <c r="G35" s="3" t="n"/>
      <c r="H35" s="9" t="n"/>
    </row>
    <row r="36">
      <c r="A36" s="10" t="n"/>
      <c r="B36" s="3" t="n"/>
      <c r="C36" s="3">
        <f>IF(B36="","",IF(AND(B36&gt;=5,B36&lt;=10),"Yes","No"))</f>
        <v/>
      </c>
      <c r="D36" s="9" t="n"/>
      <c r="E36" s="3" t="n"/>
      <c r="F36" s="3" t="n"/>
      <c r="G36" s="3" t="n"/>
      <c r="H36" s="9" t="n"/>
    </row>
    <row r="37">
      <c r="A37" s="10" t="n"/>
      <c r="B37" s="3" t="n"/>
      <c r="C37" s="3">
        <f>IF(B37="","",IF(AND(B37&gt;=5,B37&lt;=10),"Yes","No"))</f>
        <v/>
      </c>
      <c r="D37" s="9" t="n"/>
      <c r="E37" s="3" t="n"/>
      <c r="F37" s="3" t="n"/>
      <c r="G37" s="3" t="n"/>
      <c r="H37" s="9" t="n"/>
    </row>
    <row r="38">
      <c r="A38" s="10" t="n"/>
      <c r="B38" s="3" t="n"/>
      <c r="C38" s="3">
        <f>IF(B38="","",IF(AND(B38&gt;=5,B38&lt;=10),"Yes","No"))</f>
        <v/>
      </c>
      <c r="D38" s="9" t="n"/>
      <c r="E38" s="3" t="n"/>
      <c r="F38" s="3" t="n"/>
      <c r="G38" s="3" t="n"/>
      <c r="H38" s="9" t="n"/>
    </row>
    <row r="39">
      <c r="A39" s="10" t="n"/>
      <c r="B39" s="3" t="n"/>
      <c r="C39" s="3">
        <f>IF(B39="","",IF(AND(B39&gt;=5,B39&lt;=10),"Yes","No"))</f>
        <v/>
      </c>
      <c r="D39" s="9" t="n"/>
      <c r="E39" s="3" t="n"/>
      <c r="F39" s="3" t="n"/>
      <c r="G39" s="3" t="n"/>
      <c r="H39" s="9" t="n"/>
    </row>
    <row r="40">
      <c r="A40" s="10" t="n"/>
      <c r="B40" s="3" t="n"/>
      <c r="C40" s="3">
        <f>IF(B40="","",IF(AND(B40&gt;=5,B40&lt;=10),"Yes","No"))</f>
        <v/>
      </c>
      <c r="D40" s="9" t="n"/>
      <c r="E40" s="3" t="n"/>
      <c r="F40" s="3" t="n"/>
      <c r="G40" s="3" t="n"/>
      <c r="H40" s="9" t="n"/>
    </row>
    <row r="41">
      <c r="A41" s="10" t="n"/>
      <c r="B41" s="3" t="n"/>
      <c r="C41" s="3">
        <f>IF(B41="","",IF(AND(B41&gt;=5,B41&lt;=10),"Yes","No"))</f>
        <v/>
      </c>
      <c r="D41" s="9" t="n"/>
      <c r="E41" s="3" t="n"/>
      <c r="F41" s="3" t="n"/>
      <c r="G41" s="3" t="n"/>
      <c r="H41" s="9" t="n"/>
    </row>
    <row r="42">
      <c r="A42" s="10" t="n"/>
      <c r="B42" s="3" t="n"/>
      <c r="C42" s="3">
        <f>IF(B42="","",IF(AND(B42&gt;=5,B42&lt;=10),"Yes","No"))</f>
        <v/>
      </c>
      <c r="D42" s="9" t="n"/>
      <c r="E42" s="3" t="n"/>
      <c r="F42" s="3" t="n"/>
      <c r="G42" s="3" t="n"/>
      <c r="H42" s="9" t="n"/>
    </row>
    <row r="43">
      <c r="A43" s="10" t="n"/>
      <c r="B43" s="3" t="n"/>
      <c r="C43" s="3">
        <f>IF(B43="","",IF(AND(B43&gt;=5,B43&lt;=10),"Yes","No"))</f>
        <v/>
      </c>
      <c r="D43" s="9" t="n"/>
      <c r="E43" s="3" t="n"/>
      <c r="F43" s="3" t="n"/>
      <c r="G43" s="3" t="n"/>
      <c r="H43" s="9" t="n"/>
    </row>
    <row r="44">
      <c r="A44" s="10" t="n"/>
      <c r="B44" s="3" t="n"/>
      <c r="C44" s="3">
        <f>IF(B44="","",IF(AND(B44&gt;=5,B44&lt;=10),"Yes","No"))</f>
        <v/>
      </c>
      <c r="D44" s="9" t="n"/>
      <c r="E44" s="3" t="n"/>
      <c r="F44" s="3" t="n"/>
      <c r="G44" s="3" t="n"/>
      <c r="H44" s="9" t="n"/>
    </row>
    <row r="45">
      <c r="A45" s="10" t="n"/>
      <c r="B45" s="3" t="n"/>
      <c r="C45" s="3">
        <f>IF(B45="","",IF(AND(B45&gt;=5,B45&lt;=10),"Yes","No"))</f>
        <v/>
      </c>
      <c r="D45" s="9" t="n"/>
      <c r="E45" s="3" t="n"/>
      <c r="F45" s="3" t="n"/>
      <c r="G45" s="3" t="n"/>
      <c r="H45" s="9" t="n"/>
    </row>
    <row r="46">
      <c r="A46" s="10" t="n"/>
      <c r="B46" s="3" t="n"/>
      <c r="C46" s="3">
        <f>IF(B46="","",IF(AND(B46&gt;=5,B46&lt;=10),"Yes","No"))</f>
        <v/>
      </c>
      <c r="D46" s="9" t="n"/>
      <c r="E46" s="3" t="n"/>
      <c r="F46" s="3" t="n"/>
      <c r="G46" s="3" t="n"/>
      <c r="H46" s="9" t="n"/>
    </row>
    <row r="47">
      <c r="A47" s="10" t="n"/>
      <c r="B47" s="3" t="n"/>
      <c r="C47" s="3">
        <f>IF(B47="","",IF(AND(B47&gt;=5,B47&lt;=10),"Yes","No"))</f>
        <v/>
      </c>
      <c r="D47" s="9" t="n"/>
      <c r="E47" s="3" t="n"/>
      <c r="F47" s="3" t="n"/>
      <c r="G47" s="3" t="n"/>
      <c r="H47" s="9" t="n"/>
    </row>
    <row r="48">
      <c r="A48" s="10" t="n"/>
      <c r="B48" s="3" t="n"/>
      <c r="C48" s="3">
        <f>IF(B48="","",IF(AND(B48&gt;=5,B48&lt;=10),"Yes","No"))</f>
        <v/>
      </c>
      <c r="D48" s="9" t="n"/>
      <c r="E48" s="3" t="n"/>
      <c r="F48" s="3" t="n"/>
      <c r="G48" s="3" t="n"/>
      <c r="H48" s="9" t="n"/>
    </row>
    <row r="49">
      <c r="A49" s="10" t="n"/>
      <c r="B49" s="3" t="n"/>
      <c r="C49" s="3">
        <f>IF(B49="","",IF(AND(B49&gt;=5,B49&lt;=10),"Yes","No"))</f>
        <v/>
      </c>
      <c r="D49" s="9" t="n"/>
      <c r="E49" s="3" t="n"/>
      <c r="F49" s="3" t="n"/>
      <c r="G49" s="3" t="n"/>
      <c r="H49" s="9" t="n"/>
    </row>
    <row r="50">
      <c r="A50" s="10" t="n"/>
      <c r="B50" s="3" t="n"/>
      <c r="C50" s="3">
        <f>IF(B50="","",IF(AND(B50&gt;=5,B50&lt;=10),"Yes","No"))</f>
        <v/>
      </c>
      <c r="D50" s="9" t="n"/>
      <c r="E50" s="3" t="n"/>
      <c r="F50" s="3" t="n"/>
      <c r="G50" s="3" t="n"/>
      <c r="H50" s="9" t="n"/>
    </row>
    <row r="51">
      <c r="A51" s="10" t="n"/>
      <c r="B51" s="3" t="n"/>
      <c r="C51" s="3">
        <f>IF(B51="","",IF(AND(B51&gt;=5,B51&lt;=10),"Yes","No"))</f>
        <v/>
      </c>
      <c r="D51" s="9" t="n"/>
      <c r="E51" s="3" t="n"/>
      <c r="F51" s="3" t="n"/>
      <c r="G51" s="3" t="n"/>
      <c r="H51" s="9" t="n"/>
    </row>
    <row r="52">
      <c r="A52" s="10" t="n"/>
      <c r="B52" s="3" t="n"/>
      <c r="C52" s="3">
        <f>IF(B52="","",IF(AND(B52&gt;=5,B52&lt;=10),"Yes","No"))</f>
        <v/>
      </c>
      <c r="D52" s="9" t="n"/>
      <c r="E52" s="3" t="n"/>
      <c r="F52" s="3" t="n"/>
      <c r="G52" s="3" t="n"/>
      <c r="H52" s="9" t="n"/>
    </row>
    <row r="53">
      <c r="A53" s="10" t="n"/>
      <c r="B53" s="3" t="n"/>
      <c r="C53" s="3">
        <f>IF(B53="","",IF(AND(B53&gt;=5,B53&lt;=10),"Yes","No"))</f>
        <v/>
      </c>
      <c r="D53" s="9" t="n"/>
      <c r="E53" s="3" t="n"/>
      <c r="F53" s="3" t="n"/>
      <c r="G53" s="3" t="n"/>
      <c r="H53" s="9" t="n"/>
    </row>
    <row r="54">
      <c r="A54" s="10" t="n"/>
      <c r="B54" s="3" t="n"/>
      <c r="C54" s="3">
        <f>IF(B54="","",IF(AND(B54&gt;=5,B54&lt;=10),"Yes","No"))</f>
        <v/>
      </c>
      <c r="D54" s="9" t="n"/>
      <c r="E54" s="3" t="n"/>
      <c r="F54" s="3" t="n"/>
      <c r="G54" s="3" t="n"/>
      <c r="H54" s="9" t="n"/>
    </row>
    <row r="55">
      <c r="A55" s="10" t="n"/>
      <c r="B55" s="3" t="n"/>
      <c r="C55" s="3">
        <f>IF(B55="","",IF(AND(B55&gt;=5,B55&lt;=10),"Yes","No"))</f>
        <v/>
      </c>
      <c r="D55" s="9" t="n"/>
      <c r="E55" s="3" t="n"/>
      <c r="F55" s="3" t="n"/>
      <c r="G55" s="3" t="n"/>
      <c r="H55" s="9" t="n"/>
    </row>
    <row r="56">
      <c r="A56" s="10" t="n"/>
      <c r="B56" s="3" t="n"/>
      <c r="C56" s="3">
        <f>IF(B56="","",IF(AND(B56&gt;=5,B56&lt;=10),"Yes","No"))</f>
        <v/>
      </c>
      <c r="D56" s="9" t="n"/>
      <c r="E56" s="3" t="n"/>
      <c r="F56" s="3" t="n"/>
      <c r="G56" s="3" t="n"/>
      <c r="H56" s="9" t="n"/>
    </row>
    <row r="57">
      <c r="A57" s="10" t="n"/>
      <c r="B57" s="3" t="n"/>
      <c r="C57" s="3">
        <f>IF(B57="","",IF(AND(B57&gt;=5,B57&lt;=10),"Yes","No"))</f>
        <v/>
      </c>
      <c r="D57" s="9" t="n"/>
      <c r="E57" s="3" t="n"/>
      <c r="F57" s="3" t="n"/>
      <c r="G57" s="3" t="n"/>
      <c r="H57" s="9" t="n"/>
    </row>
    <row r="58">
      <c r="A58" s="10" t="n"/>
      <c r="B58" s="3" t="n"/>
      <c r="C58" s="3">
        <f>IF(B58="","",IF(AND(B58&gt;=5,B58&lt;=10),"Yes","No"))</f>
        <v/>
      </c>
      <c r="D58" s="9" t="n"/>
      <c r="E58" s="3" t="n"/>
      <c r="F58" s="3" t="n"/>
      <c r="G58" s="3" t="n"/>
      <c r="H58" s="9" t="n"/>
    </row>
    <row r="59">
      <c r="A59" s="10" t="n"/>
      <c r="B59" s="3" t="n"/>
      <c r="C59" s="3">
        <f>IF(B59="","",IF(AND(B59&gt;=5,B59&lt;=10),"Yes","No"))</f>
        <v/>
      </c>
      <c r="D59" s="9" t="n"/>
      <c r="E59" s="3" t="n"/>
      <c r="F59" s="3" t="n"/>
      <c r="G59" s="3" t="n"/>
      <c r="H59" s="9" t="n"/>
    </row>
    <row r="60">
      <c r="A60" s="10" t="n"/>
      <c r="B60" s="3" t="n"/>
      <c r="C60" s="3">
        <f>IF(B60="","",IF(AND(B60&gt;=5,B60&lt;=10),"Yes","No"))</f>
        <v/>
      </c>
      <c r="D60" s="9" t="n"/>
      <c r="E60" s="3" t="n"/>
      <c r="F60" s="3" t="n"/>
      <c r="G60" s="3" t="n"/>
      <c r="H60" s="9" t="n"/>
    </row>
    <row r="61">
      <c r="A61" s="10" t="n"/>
      <c r="B61" s="3" t="n"/>
      <c r="C61" s="3">
        <f>IF(B61="","",IF(AND(B61&gt;=5,B61&lt;=10),"Yes","No"))</f>
        <v/>
      </c>
      <c r="D61" s="9" t="n"/>
      <c r="E61" s="3" t="n"/>
      <c r="F61" s="3" t="n"/>
      <c r="G61" s="3" t="n"/>
      <c r="H61" s="9" t="n"/>
    </row>
    <row r="62">
      <c r="A62" s="10" t="n"/>
      <c r="B62" s="3" t="n"/>
      <c r="C62" s="3">
        <f>IF(B62="","",IF(AND(B62&gt;=5,B62&lt;=10),"Yes","No"))</f>
        <v/>
      </c>
      <c r="D62" s="9" t="n"/>
      <c r="E62" s="3" t="n"/>
      <c r="F62" s="3" t="n"/>
      <c r="G62" s="3" t="n"/>
      <c r="H62" s="9" t="n"/>
    </row>
    <row r="63">
      <c r="A63" s="10" t="n"/>
      <c r="B63" s="3" t="n"/>
      <c r="C63" s="3">
        <f>IF(B63="","",IF(AND(B63&gt;=5,B63&lt;=10),"Yes","No"))</f>
        <v/>
      </c>
      <c r="D63" s="9" t="n"/>
      <c r="E63" s="3" t="n"/>
      <c r="F63" s="3" t="n"/>
      <c r="G63" s="3" t="n"/>
      <c r="H63" s="9" t="n"/>
    </row>
    <row r="64">
      <c r="A64" s="10" t="n"/>
      <c r="B64" s="3" t="n"/>
      <c r="C64" s="3">
        <f>IF(B64="","",IF(AND(B64&gt;=5,B64&lt;=10),"Yes","No"))</f>
        <v/>
      </c>
      <c r="D64" s="9" t="n"/>
      <c r="E64" s="3" t="n"/>
      <c r="F64" s="3" t="n"/>
      <c r="G64" s="3" t="n"/>
      <c r="H64" s="9" t="n"/>
    </row>
    <row r="67">
      <c r="A67" s="7" t="inlineStr">
        <is>
          <t>Total Practice Days Logged:</t>
        </is>
      </c>
      <c r="C67">
        <f>COUNT(A5:A64)</f>
        <v/>
      </c>
    </row>
    <row r="68">
      <c r="A68" s="7" t="inlineStr">
        <is>
          <t>Total Queries Solved:</t>
        </is>
      </c>
      <c r="C68">
        <f>SUM(B5:B64)</f>
        <v/>
      </c>
    </row>
    <row r="69">
      <c r="A69" s="7" t="inlineStr">
        <is>
          <t>Days Target Met (5-10 queries):</t>
        </is>
      </c>
      <c r="C69">
        <f>COUNTIF(C5:C64,"Yes")</f>
        <v/>
      </c>
    </row>
    <row r="70">
      <c r="A70" s="7" t="inlineStr">
        <is>
          <t>Average Confidence:</t>
        </is>
      </c>
      <c r="C70" s="11">
        <f>IFERROR(AVERAGE(G5:G64),0)</f>
        <v/>
      </c>
    </row>
    <row r="72" ht="30" customHeight="1">
      <c r="A72" s="17" t="inlineStr">
        <is>
          <t>EXAMPLE (for reference only — edit/delete before use): 2026-08-22 | 7 queries | Window Functions, Joins | Medium | LeetCode | Confidence 3 | Notes: Struggled with multi-partition LEAD/LAG, need more practice.</t>
        </is>
      </c>
    </row>
  </sheetData>
  <mergeCells count="3">
    <mergeCell ref="A2:H2"/>
    <mergeCell ref="A72:H72"/>
    <mergeCell ref="A1:H1"/>
  </mergeCells>
  <conditionalFormatting sqref="C5:C64">
    <cfRule type="cellIs" priority="2" operator="equal" dxfId="1">
      <formula>"Yes"</formula>
    </cfRule>
    <cfRule type="cellIs" priority="3" operator="equal" dxfId="0">
      <formula>"No"</formula>
    </cfRule>
  </conditionalFormatting>
  <dataValidations count="2">
    <dataValidation sqref="E5:E64" showDropDown="0" showInputMessage="0" showErrorMessage="0" allowBlank="1" type="list">
      <formula1>"Easy,Medium,Hard,Mixed"</formula1>
      <formula2>0</formula2>
    </dataValidation>
    <dataValidation sqref="G5:G64" showDropDown="0" showInputMessage="0" showErrorMessage="0" allowBlank="1" type="list">
      <formula1>"1,2,3,4,5"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2026-08-22T05:54:38Z</dcterms:created>
  <dcterms:modified xmlns:dcterms="http://purl.org/dc/terms/" xmlns:xsi="http://www.w3.org/2001/XMLSchema-instance" xsi:type="dcterms:W3CDTF">2026-08-24T02:28:51Z</dcterms:modified>
  <cp:revision>0</cp:revision>
</cp:coreProperties>
</file>